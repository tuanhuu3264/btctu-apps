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 sheetId="1" state="visible" r:id="rId1"/>
    <sheet xmlns:r="http://schemas.openxmlformats.org/officeDocument/2006/relationships" name="Tổng hợp" sheetId="2" state="visible" r:id="rId2"/>
    <sheet xmlns:r="http://schemas.openxmlformats.org/officeDocument/2006/relationships" name="Tiêu chí chấp nhận" sheetId="3" state="visible" r:id="rId3"/>
    <sheet xmlns:r="http://schemas.openxmlformats.org/officeDocument/2006/relationships" name="Use case" sheetId="4" state="visible" r:id="rId4"/>
    <sheet xmlns:r="http://schemas.openxmlformats.org/officeDocument/2006/relationships" name="Lỗi" sheetId="5" state="visible" r:id="rId5"/>
  </sheets>
  <definedNames>
    <definedName name="_xlnm._FilterDatabase" localSheetId="0" hidden="1">'Test case'!$A$1:$O$203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b val="1"/>
    </font>
  </fonts>
  <fills count="4">
    <fill>
      <patternFill/>
    </fill>
    <fill>
      <patternFill patternType="gray125"/>
    </fill>
    <fill>
      <patternFill patternType="solid">
        <fgColor rgb="001F3864"/>
      </patternFill>
    </fill>
    <fill>
      <patternFill patternType="solid">
        <fgColor rgb="00FDE2E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9" fontId="0" fillId="0" borderId="0" pivotButton="0" quotePrefix="0" xfId="0"/>
    <xf numFmtId="0" fontId="2" fillId="0" borderId="0" pivotButton="0" quotePrefix="0" xfId="0"/>
    <xf numFmtId="9" fontId="2"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8" customWidth="1" min="2" max="2"/>
    <col width="18" customWidth="1" min="3" max="3"/>
    <col width="8" customWidth="1" min="4" max="4"/>
    <col width="9" customWidth="1" min="5" max="5"/>
    <col width="16" customWidth="1" min="6" max="6"/>
    <col width="55" customWidth="1" min="7" max="7"/>
    <col width="55" customWidth="1" min="8" max="8"/>
    <col width="24" customWidth="1" min="9" max="9"/>
    <col width="30" customWidth="1" min="10" max="10"/>
    <col width="9" customWidth="1" min="11" max="11"/>
    <col width="11" customWidth="1" min="12" max="12"/>
    <col width="25" customWidth="1" min="13" max="13"/>
    <col width="14" customWidth="1" min="14" max="14"/>
    <col width="12" customWidth="1" min="15" max="15"/>
  </cols>
  <sheetData>
    <row r="1">
      <c r="A1" s="1" t="inlineStr">
        <is>
          <t>Mã TC</t>
        </is>
      </c>
      <c r="B1" s="1" t="inlineStr">
        <is>
          <t>UC</t>
        </is>
      </c>
      <c r="C1" s="1" t="inlineStr">
        <is>
          <t>AC</t>
        </is>
      </c>
      <c r="D1" s="1" t="inlineStr">
        <is>
          <t>Loại</t>
        </is>
      </c>
      <c r="E1" s="1" t="inlineStr">
        <is>
          <t>Ưu tiên</t>
        </is>
      </c>
      <c r="F1" s="1" t="inlineStr">
        <is>
          <t>Tài khoản</t>
        </is>
      </c>
      <c r="G1" s="1" t="inlineStr">
        <is>
          <t>Các bước</t>
        </is>
      </c>
      <c r="H1" s="1" t="inlineStr">
        <is>
          <t>Kết quả mong đợi</t>
        </is>
      </c>
      <c r="I1" s="1" t="inlineStr">
        <is>
          <t>Test máy liên quan</t>
        </is>
      </c>
      <c r="J1" s="1" t="inlineStr">
        <is>
          <t>Kết quả thực tế</t>
        </is>
      </c>
      <c r="K1" s="1" t="inlineStr">
        <is>
          <t>Đ/K/C/N</t>
        </is>
      </c>
      <c r="L1" s="1" t="inlineStr">
        <is>
          <t>Mã lỗi</t>
        </is>
      </c>
      <c r="M1" s="1" t="inlineStr">
        <is>
          <t>Ghi chú</t>
        </is>
      </c>
      <c r="N1" s="1" t="inlineStr">
        <is>
          <t>Người thử</t>
        </is>
      </c>
      <c r="O1" s="1" t="inlineStr">
        <is>
          <t>Ngày thử</t>
        </is>
      </c>
    </row>
    <row r="2">
      <c r="A2" s="2" t="inlineStr">
        <is>
          <t>TC-01-01</t>
        </is>
      </c>
      <c r="B2" s="2" t="inlineStr">
        <is>
          <t>UC-01</t>
        </is>
      </c>
      <c r="C2" s="2" t="inlineStr">
        <is>
          <t>AC-01.1</t>
        </is>
      </c>
      <c r="D2" s="2" t="inlineStr">
        <is>
          <t>Chính</t>
        </is>
      </c>
      <c r="E2" s="2" t="inlineStr">
        <is>
          <t>P1</t>
        </is>
      </c>
      <c r="F2" s="2" t="inlineStr">
        <is>
          <t>chuyenvien</t>
        </is>
      </c>
      <c r="G2" s="2" t="inlineStr">
        <is>
          <t>1) Mở `/login`. 2) Nhập đúng tên và mật khẩu. 3) Quan sát menu.</t>
        </is>
      </c>
      <c r="H2" s="2" t="inlineStr">
        <is>
          <t>Vào Tổng quan; menu không có Tài khoản, Nhật ký, Tổ chức, Danh mục (chuyên viên chỉ có chức năng thuộc STAFF).</t>
        </is>
      </c>
      <c r="I2" s="2" t="inlineStr">
        <is>
          <t>app.e2e-spec.ts</t>
        </is>
      </c>
      <c r="J2" s="2" t="inlineStr">
        <is>
          <t>14/14 điều kiện đạt</t>
        </is>
      </c>
      <c r="K2" s="2" t="inlineStr">
        <is>
          <t>Đ</t>
        </is>
      </c>
      <c r="L2" s="2" t="inlineStr"/>
      <c r="M2" s="2" t="inlineStr">
        <is>
          <t>Evidence: evidence/UC-01/TC-01-01.json</t>
        </is>
      </c>
      <c r="N2" s="2" t="inlineStr">
        <is>
          <t>Claude (chạy tự động)</t>
        </is>
      </c>
      <c r="O2" s="2" t="inlineStr">
        <is>
          <t>2026-10-18</t>
        </is>
      </c>
    </row>
    <row r="3">
      <c r="A3" s="2" t="inlineStr">
        <is>
          <t>TC-01-02</t>
        </is>
      </c>
      <c r="B3" s="2" t="inlineStr">
        <is>
          <t>UC-01</t>
        </is>
      </c>
      <c r="C3" s="2" t="inlineStr">
        <is>
          <t>AC-01.1</t>
        </is>
      </c>
      <c r="D3" s="2" t="inlineStr">
        <is>
          <t>Chính</t>
        </is>
      </c>
      <c r="E3" s="2" t="inlineStr">
        <is>
          <t>P1</t>
        </is>
      </c>
      <c r="F3" s="2" t="inlineStr">
        <is>
          <t>truongban</t>
        </is>
      </c>
      <c r="G3" s="2" t="inlineStr">
        <is>
          <t>Đăng nhập, quan sát menu.</t>
        </is>
      </c>
      <c r="H3" s="2" t="inlineStr">
        <is>
          <t>Có Đánh giá, Đánh giá tập thể, Việc, Báo cáo, Danh mục; không có Tài khoản, Nhật ký.</t>
        </is>
      </c>
      <c r="I3" s="2" t="inlineStr">
        <is>
          <t>–</t>
        </is>
      </c>
      <c r="J3" s="2" t="inlineStr">
        <is>
          <t>14/14 điều kiện đạt</t>
        </is>
      </c>
      <c r="K3" s="2" t="inlineStr">
        <is>
          <t>Đ</t>
        </is>
      </c>
      <c r="L3" s="2" t="inlineStr"/>
      <c r="M3" s="2" t="inlineStr">
        <is>
          <t>Evidence: evidence/UC-01/TC-01-02.json</t>
        </is>
      </c>
      <c r="N3" s="2" t="inlineStr">
        <is>
          <t>Claude (chạy tự động)</t>
        </is>
      </c>
      <c r="O3" s="2" t="inlineStr">
        <is>
          <t>2026-10-18</t>
        </is>
      </c>
    </row>
    <row r="4">
      <c r="A4" s="2" t="inlineStr">
        <is>
          <t>TC-01-03</t>
        </is>
      </c>
      <c r="B4" s="2" t="inlineStr">
        <is>
          <t>UC-01</t>
        </is>
      </c>
      <c r="C4" s="2" t="inlineStr">
        <is>
          <t>AC-01.2</t>
        </is>
      </c>
      <c r="D4" s="2" t="inlineStr">
        <is>
          <t>Âm</t>
        </is>
      </c>
      <c r="E4" s="2" t="inlineStr">
        <is>
          <t>P1</t>
        </is>
      </c>
      <c r="F4" s="2" t="inlineStr">
        <is>
          <t>(không)</t>
        </is>
      </c>
      <c r="G4" s="2" t="inlineStr">
        <is>
          <t>1) Nhập tên tồn tại, mật khẩu sai. 2) Nhập tên không tồn tại, mật khẩu bất kỳ.</t>
        </is>
      </c>
      <c r="H4" s="2" t="inlineStr">
        <is>
          <t>Hai lần cùng một thông báo; không lộ tên nào tồn tại.</t>
        </is>
      </c>
      <c r="I4" s="2" t="inlineStr">
        <is>
          <t>security.spec.ts; authorization.spec.ts</t>
        </is>
      </c>
      <c r="J4" s="2" t="inlineStr">
        <is>
          <t>2/2 điều kiện đạt</t>
        </is>
      </c>
      <c r="K4" s="2" t="inlineStr">
        <is>
          <t>Đ</t>
        </is>
      </c>
      <c r="L4" s="2" t="inlineStr"/>
      <c r="M4" s="2" t="inlineStr">
        <is>
          <t>Evidence: evidence/UC-01/TC-01-03.json</t>
        </is>
      </c>
      <c r="N4" s="2" t="inlineStr">
        <is>
          <t>Claude (chạy tự động)</t>
        </is>
      </c>
      <c r="O4" s="2" t="inlineStr">
        <is>
          <t>2026-10-18</t>
        </is>
      </c>
    </row>
    <row r="5">
      <c r="A5" s="2" t="inlineStr">
        <is>
          <t>TC-01-04</t>
        </is>
      </c>
      <c r="B5" s="2" t="inlineStr">
        <is>
          <t>UC-01</t>
        </is>
      </c>
      <c r="C5" s="2" t="inlineStr">
        <is>
          <t>AC-01.3</t>
        </is>
      </c>
      <c r="D5" s="2" t="inlineStr">
        <is>
          <t>Biên</t>
        </is>
      </c>
      <c r="E5" s="2" t="inlineStr">
        <is>
          <t>P1</t>
        </is>
      </c>
      <c r="F5" s="2" t="inlineStr">
        <is>
          <t>chuyenvien</t>
        </is>
      </c>
      <c r="G5" s="2" t="inlineStr">
        <is>
          <t>Nhập sai mật khẩu 5 lần liên tiếp; thử lần 6 bằng mật khẩu đúng.</t>
        </is>
      </c>
      <c r="H5" s="2" t="inlineStr">
        <is>
          <t>Lần thứ 6 vẫn bị từ chối, thông báo bị khóa tạm; đăng nhập đúng lại được sau thời gian khóa (15 phút) hoặc khi quản trị mở khóa. Nhật ký có sự kiện khóa.</t>
        </is>
      </c>
      <c r="I5" s="2" t="inlineStr">
        <is>
          <t>security.spec.ts; app.e2e-spec.ts</t>
        </is>
      </c>
      <c r="J5" s="2" t="inlineStr">
        <is>
          <t>5/5 điều kiện đạt</t>
        </is>
      </c>
      <c r="K5" s="2" t="inlineStr">
        <is>
          <t>Đ</t>
        </is>
      </c>
      <c r="L5" s="2" t="inlineStr"/>
      <c r="M5" s="2" t="inlineStr">
        <is>
          <t>Evidence: evidence/UC-01/TC-01-04.json</t>
        </is>
      </c>
      <c r="N5" s="2" t="inlineStr">
        <is>
          <t>Claude (chạy tự động)</t>
        </is>
      </c>
      <c r="O5" s="2" t="inlineStr">
        <is>
          <t>2026-10-18</t>
        </is>
      </c>
    </row>
    <row r="6">
      <c r="A6" s="2" t="inlineStr">
        <is>
          <t>TC-01-05</t>
        </is>
      </c>
      <c r="B6" s="2" t="inlineStr">
        <is>
          <t>UC-01</t>
        </is>
      </c>
      <c r="C6" s="2" t="inlineStr">
        <is>
          <t>AC-01.3</t>
        </is>
      </c>
      <c r="D6" s="2" t="inlineStr">
        <is>
          <t>Biên</t>
        </is>
      </c>
      <c r="E6" s="2" t="inlineStr">
        <is>
          <t>P2</t>
        </is>
      </c>
      <c r="F6" s="2" t="inlineStr">
        <is>
          <t>chuyenvien</t>
        </is>
      </c>
      <c r="G6" s="2" t="inlineStr">
        <is>
          <t>Sai 4 lần rồi nhập đúng.</t>
        </is>
      </c>
      <c r="H6" s="2" t="inlineStr">
        <is>
          <t>Đăng nhập thành công; bộ đếm sai được xóa.</t>
        </is>
      </c>
      <c r="I6" s="2" t="inlineStr">
        <is>
          <t>security.spec.ts; authorization.spec.ts</t>
        </is>
      </c>
      <c r="J6" s="2" t="inlineStr">
        <is>
          <t>2/2 điều kiện đạt</t>
        </is>
      </c>
      <c r="K6" s="2" t="inlineStr">
        <is>
          <t>Đ</t>
        </is>
      </c>
      <c r="L6" s="2" t="inlineStr"/>
      <c r="M6" s="2" t="inlineStr">
        <is>
          <t>Evidence: evidence/UC-01/TC-01-05.json</t>
        </is>
      </c>
      <c r="N6" s="2" t="inlineStr">
        <is>
          <t>Claude (chạy tự động)</t>
        </is>
      </c>
      <c r="O6" s="2" t="inlineStr">
        <is>
          <t>2026-10-18</t>
        </is>
      </c>
    </row>
    <row r="7">
      <c r="A7" s="2" t="inlineStr">
        <is>
          <t>TC-01-06</t>
        </is>
      </c>
      <c r="B7" s="2" t="inlineStr">
        <is>
          <t>UC-01</t>
        </is>
      </c>
      <c r="C7" s="2" t="inlineStr">
        <is>
          <t>AC-01.4</t>
        </is>
      </c>
      <c r="D7" s="2" t="inlineStr">
        <is>
          <t>Chính</t>
        </is>
      </c>
      <c r="E7" s="2" t="inlineStr">
        <is>
          <t>P1</t>
        </is>
      </c>
      <c r="F7" s="2" t="inlineStr">
        <is>
          <t>chuyenvien, quantri</t>
        </is>
      </c>
      <c r="G7" s="2" t="inlineStr">
        <is>
          <t>1) chuyenvien đăng nhập ở cửa sổ A. 2) quantri vô hiệu hóa tài khoản chuyenvien ở cửa sổ B. 3) Ở cửa sổ A làm mới trang.</t>
        </is>
      </c>
      <c r="H7" s="2" t="inlineStr">
        <is>
          <t>Cửa sổ A bị đưa về `/login` ngay; mọi lời gọi API 401. Kích hoạt lại sau khi thử xong.</t>
        </is>
      </c>
      <c r="I7" s="2" t="inlineStr">
        <is>
          <t>app.e2e-spec.ts</t>
        </is>
      </c>
      <c r="J7" s="2" t="inlineStr">
        <is>
          <t>4/4 điều kiện đạt</t>
        </is>
      </c>
      <c r="K7" s="2" t="inlineStr">
        <is>
          <t>Đ</t>
        </is>
      </c>
      <c r="L7" s="2" t="inlineStr"/>
      <c r="M7" s="2" t="inlineStr">
        <is>
          <t>Evidence: evidence/UC-01/TC-01-06.json</t>
        </is>
      </c>
      <c r="N7" s="2" t="inlineStr">
        <is>
          <t>Claude (chạy tự động)</t>
        </is>
      </c>
      <c r="O7" s="2" t="inlineStr">
        <is>
          <t>2026-10-18</t>
        </is>
      </c>
    </row>
    <row r="8">
      <c r="A8" s="2" t="inlineStr">
        <is>
          <t>TC-01-07</t>
        </is>
      </c>
      <c r="B8" s="2" t="inlineStr">
        <is>
          <t>UC-01</t>
        </is>
      </c>
      <c r="C8" s="2" t="inlineStr">
        <is>
          <t>AC-01.4</t>
        </is>
      </c>
      <c r="D8" s="2" t="inlineStr">
        <is>
          <t>Chính</t>
        </is>
      </c>
      <c r="E8" s="2" t="inlineStr">
        <is>
          <t>P2</t>
        </is>
      </c>
      <c r="F8" s="2" t="inlineStr">
        <is>
          <t>chuyenvien</t>
        </is>
      </c>
      <c r="G8" s="2" t="inlineStr">
        <is>
          <t>Đăng xuất; nhấn nút Back của trình duyệt.</t>
        </is>
      </c>
      <c r="H8" s="2" t="inlineStr">
        <is>
          <t>Không xem lại được dữ liệu; chuyển về `/login`.</t>
        </is>
      </c>
      <c r="I8" s="2" t="inlineStr">
        <is>
          <t>–</t>
        </is>
      </c>
      <c r="J8" s="2" t="inlineStr">
        <is>
          <t>3/3 điều kiện đạt</t>
        </is>
      </c>
      <c r="K8" s="2" t="inlineStr">
        <is>
          <t>Đ</t>
        </is>
      </c>
      <c r="L8" s="2" t="inlineStr"/>
      <c r="M8" s="2" t="inlineStr">
        <is>
          <t>Evidence: evidence/UC-01/TC-01-07.json</t>
        </is>
      </c>
      <c r="N8" s="2" t="inlineStr">
        <is>
          <t>Claude (chạy tự động)</t>
        </is>
      </c>
      <c r="O8" s="2" t="inlineStr">
        <is>
          <t>2026-10-18</t>
        </is>
      </c>
    </row>
    <row r="9">
      <c r="A9" s="2" t="inlineStr">
        <is>
          <t>TC-01-08</t>
        </is>
      </c>
      <c r="B9" s="2" t="inlineStr">
        <is>
          <t>UC-01</t>
        </is>
      </c>
      <c r="C9" s="2" t="inlineStr">
        <is>
          <t>AC-01.5</t>
        </is>
      </c>
      <c r="D9" s="2" t="inlineStr">
        <is>
          <t>Biên</t>
        </is>
      </c>
      <c r="E9" s="2" t="inlineStr">
        <is>
          <t>P1</t>
        </is>
      </c>
      <c r="F9" s="2" t="inlineStr">
        <is>
          <t>chuyenvien</t>
        </is>
      </c>
      <c r="G9" s="2" t="inlineStr">
        <is>
          <t>Đăng nhập, không thao tác. Quan sát sau 28 phút và 30 phút (có thể đặt `SESSION_IDLE_MINUTES` nhỏ hơn khi thử).</t>
        </is>
      </c>
      <c r="H9" s="2" t="inlineStr">
        <is>
          <t>Còn 2 phút hiện hộp cảnh báo kèm nút gia hạn; nhấn gia hạn thì phiên tiếp tục; không nhấn thì đến hạn tự về `/login`.</t>
        </is>
      </c>
      <c r="I9" s="2" t="inlineStr">
        <is>
          <t>security.spec.ts</t>
        </is>
      </c>
      <c r="J9" s="2" t="inlineStr">
        <is>
          <t>3/3 điều kiện đạt</t>
        </is>
      </c>
      <c r="K9" s="2" t="inlineStr">
        <is>
          <t>Đ</t>
        </is>
      </c>
      <c r="L9" s="2" t="inlineStr"/>
      <c r="M9" s="2" t="inlineStr">
        <is>
          <t>Evidence: evidence/UC-01/TC-01-08.json</t>
        </is>
      </c>
      <c r="N9" s="2" t="inlineStr">
        <is>
          <t>Claude (chạy tự động)</t>
        </is>
      </c>
      <c r="O9" s="2" t="inlineStr">
        <is>
          <t>2026-10-18</t>
        </is>
      </c>
    </row>
    <row r="10">
      <c r="A10" s="2" t="inlineStr">
        <is>
          <t>TC-01-09</t>
        </is>
      </c>
      <c r="B10" s="2" t="inlineStr">
        <is>
          <t>UC-01</t>
        </is>
      </c>
      <c r="C10" s="2" t="inlineStr">
        <is>
          <t>AC-01.6</t>
        </is>
      </c>
      <c r="D10" s="2" t="inlineStr">
        <is>
          <t>Âm</t>
        </is>
      </c>
      <c r="E10" s="2" t="inlineStr">
        <is>
          <t>P1</t>
        </is>
      </c>
      <c r="F10" s="2" t="inlineStr">
        <is>
          <t>(không)</t>
        </is>
      </c>
      <c r="G10" s="2" t="inlineStr">
        <is>
          <t>1) Mở trực tiếp `/evaluations` khi chưa đăng nhập. 2) Gọi `GET /api/evaluation/periods` không cookie.</t>
        </is>
      </c>
      <c r="H10" s="2" t="inlineStr">
        <is>
          <t>1) Chuyển về `/login`. 2) 401.</t>
        </is>
      </c>
      <c r="I10" s="2" t="inlineStr">
        <is>
          <t>app.e2e-spec.ts</t>
        </is>
      </c>
      <c r="J10" s="2" t="inlineStr">
        <is>
          <t>3/3 điều kiện đạt</t>
        </is>
      </c>
      <c r="K10" s="2" t="inlineStr">
        <is>
          <t>Đ</t>
        </is>
      </c>
      <c r="L10" s="2" t="inlineStr"/>
      <c r="M10" s="2" t="inlineStr">
        <is>
          <t>Evidence: evidence/UC-01/TC-01-09.json</t>
        </is>
      </c>
      <c r="N10" s="2" t="inlineStr">
        <is>
          <t>Claude (chạy tự động)</t>
        </is>
      </c>
      <c r="O10" s="2" t="inlineStr">
        <is>
          <t>2026-10-18</t>
        </is>
      </c>
    </row>
    <row r="11">
      <c r="A11" s="2" t="inlineStr">
        <is>
          <t>TC-01-10</t>
        </is>
      </c>
      <c r="B11" s="2" t="inlineStr">
        <is>
          <t>UC-01</t>
        </is>
      </c>
      <c r="C11" s="2" t="inlineStr">
        <is>
          <t>AC-01.7</t>
        </is>
      </c>
      <c r="D11" s="2" t="inlineStr">
        <is>
          <t>Âm</t>
        </is>
      </c>
      <c r="E11" s="2" t="inlineStr">
        <is>
          <t>P2</t>
        </is>
      </c>
      <c r="F11" s="2" t="inlineStr">
        <is>
          <t>tài khoản mới chưa gán vai trò</t>
        </is>
      </c>
      <c r="G11" s="2" t="inlineStr">
        <is>
          <t>Tạo tài khoản ở UC-02, đăng nhập bằng nó, vào Tổng quan.</t>
        </is>
      </c>
      <c r="H11" s="2" t="inlineStr">
        <is>
          <t>Đăng nhập được; mọi lời gọi dữ liệu 403, không lộ dữ liệu.</t>
        </is>
      </c>
      <c r="I11" s="2" t="inlineStr">
        <is>
          <t>app.e2e-spec.ts</t>
        </is>
      </c>
      <c r="J11" s="2" t="inlineStr">
        <is>
          <t>3/3 điều kiện đạt</t>
        </is>
      </c>
      <c r="K11" s="2" t="inlineStr">
        <is>
          <t>Đ</t>
        </is>
      </c>
      <c r="L11" s="2" t="inlineStr"/>
      <c r="M11" s="2" t="inlineStr">
        <is>
          <t>Evidence: evidence/UC-01/TC-01-10.json</t>
        </is>
      </c>
      <c r="N11" s="2" t="inlineStr">
        <is>
          <t>Claude (chạy tự động)</t>
        </is>
      </c>
      <c r="O11" s="2" t="inlineStr">
        <is>
          <t>2026-10-18</t>
        </is>
      </c>
    </row>
    <row r="12">
      <c r="A12" s="2" t="inlineStr">
        <is>
          <t>TC-01-11</t>
        </is>
      </c>
      <c r="B12" s="2" t="inlineStr">
        <is>
          <t>UC-01</t>
        </is>
      </c>
      <c r="C12" s="2" t="inlineStr">
        <is>
          <t>AC-01.8</t>
        </is>
      </c>
      <c r="D12" s="2" t="inlineStr">
        <is>
          <t>Âm</t>
        </is>
      </c>
      <c r="E12" s="2" t="inlineStr">
        <is>
          <t>P2</t>
        </is>
      </c>
      <c r="F12" s="2" t="inlineStr">
        <is>
          <t>quantri</t>
        </is>
      </c>
      <c r="G12" s="2" t="inlineStr">
        <is>
          <t>Tạo tài khoản với mật khẩu 11 ký tự, rồi 12 ký tự.</t>
        </is>
      </c>
      <c r="H12" s="2" t="inlineStr">
        <is>
          <t>11 ký tự bị từ chối kèm lý do; 12 ký tự được.</t>
        </is>
      </c>
      <c r="I12" s="2" t="inlineStr">
        <is>
          <t>security.spec.ts; authorization.spec.ts</t>
        </is>
      </c>
      <c r="J12" s="2" t="inlineStr">
        <is>
          <t>2/2 điều kiện đạt</t>
        </is>
      </c>
      <c r="K12" s="2" t="inlineStr">
        <is>
          <t>Đ</t>
        </is>
      </c>
      <c r="L12" s="2" t="inlineStr"/>
      <c r="M12" s="2" t="inlineStr">
        <is>
          <t>Evidence: evidence/UC-01/TC-01-11.json</t>
        </is>
      </c>
      <c r="N12" s="2" t="inlineStr">
        <is>
          <t>Claude (chạy tự động)</t>
        </is>
      </c>
      <c r="O12" s="2" t="inlineStr">
        <is>
          <t>2026-10-18</t>
        </is>
      </c>
    </row>
    <row r="13">
      <c r="A13" s="2" t="inlineStr">
        <is>
          <t>TC-02-01</t>
        </is>
      </c>
      <c r="B13" s="2" t="inlineStr">
        <is>
          <t>UC-02</t>
        </is>
      </c>
      <c r="C13" s="2" t="inlineStr">
        <is>
          <t>AC-02.1</t>
        </is>
      </c>
      <c r="D13" s="2" t="inlineStr">
        <is>
          <t>Chính</t>
        </is>
      </c>
      <c r="E13" s="2" t="inlineStr">
        <is>
          <t>P1</t>
        </is>
      </c>
      <c r="F13" s="2" t="inlineStr">
        <is>
          <t>quantri</t>
        </is>
      </c>
      <c r="G13" s="2" t="inlineStr">
        <is>
          <t>1) Vào `/accounts`. 2) Tạo tài khoản `nt01`. 3) Gán vai trò CHUYEN_VIEN từ hôm nay đến cuối tháng.</t>
        </is>
      </c>
      <c r="H13" s="2" t="inlineStr">
        <is>
          <t>Tài khoản hiện trong danh sách; vai trò hiện hiệu lực; có nhật ký tạo và cấp vai trò.</t>
        </is>
      </c>
      <c r="I13" s="2" t="inlineStr">
        <is>
          <t>app.e2e-spec.ts</t>
        </is>
      </c>
      <c r="J13" s="2" t="inlineStr">
        <is>
          <t>8/8 điều kiện đạt</t>
        </is>
      </c>
      <c r="K13" s="2" t="inlineStr">
        <is>
          <t>Đ</t>
        </is>
      </c>
      <c r="L13" s="2" t="inlineStr"/>
      <c r="M13" s="2" t="inlineStr">
        <is>
          <t>Evidence: evidence/UC-02/TC-02-01.json</t>
        </is>
      </c>
      <c r="N13" s="2" t="inlineStr">
        <is>
          <t>Claude (chạy tự động)</t>
        </is>
      </c>
      <c r="O13" s="2" t="inlineStr">
        <is>
          <t>2026-10-18</t>
        </is>
      </c>
    </row>
    <row r="14">
      <c r="A14" s="2" t="inlineStr">
        <is>
          <t>TC-02-02</t>
        </is>
      </c>
      <c r="B14" s="2" t="inlineStr">
        <is>
          <t>UC-02</t>
        </is>
      </c>
      <c r="C14" s="2" t="inlineStr">
        <is>
          <t>AC-02.1</t>
        </is>
      </c>
      <c r="D14" s="2" t="inlineStr">
        <is>
          <t>Biên</t>
        </is>
      </c>
      <c r="E14" s="2" t="inlineStr">
        <is>
          <t>P2</t>
        </is>
      </c>
      <c r="F14" s="2" t="inlineStr">
        <is>
          <t>quantri</t>
        </is>
      </c>
      <c r="G14" s="2" t="inlineStr">
        <is>
          <t>Gán vai trò hết hạn từ hôm qua cho `nt01`; đăng nhập `nt01`.</t>
        </is>
      </c>
      <c r="H14" s="2" t="inlineStr">
        <is>
          <t>Không có quyền nghiệp vụ (403).</t>
        </is>
      </c>
      <c r="I14" s="2" t="inlineStr">
        <is>
          <t>security.spec.ts; authorization.spec.ts</t>
        </is>
      </c>
      <c r="J14" s="2" t="inlineStr">
        <is>
          <t>2/2 điều kiện đạt</t>
        </is>
      </c>
      <c r="K14" s="2" t="inlineStr">
        <is>
          <t>Đ</t>
        </is>
      </c>
      <c r="L14" s="2" t="inlineStr"/>
      <c r="M14" s="2" t="inlineStr">
        <is>
          <t>Evidence: evidence/UC-02/TC-02-02.json</t>
        </is>
      </c>
      <c r="N14" s="2" t="inlineStr">
        <is>
          <t>Claude (chạy tự động)</t>
        </is>
      </c>
      <c r="O14" s="2" t="inlineStr">
        <is>
          <t>2026-10-18</t>
        </is>
      </c>
    </row>
    <row r="15">
      <c r="A15" s="2" t="inlineStr">
        <is>
          <t>TC-02-03</t>
        </is>
      </c>
      <c r="B15" s="2" t="inlineStr">
        <is>
          <t>UC-02</t>
        </is>
      </c>
      <c r="C15" s="2" t="inlineStr">
        <is>
          <t>AC-02.2</t>
        </is>
      </c>
      <c r="D15" s="2" t="inlineStr">
        <is>
          <t>Âm</t>
        </is>
      </c>
      <c r="E15" s="2" t="inlineStr">
        <is>
          <t>P1</t>
        </is>
      </c>
      <c r="F15" s="2" t="inlineStr">
        <is>
          <t>quantri</t>
        </is>
      </c>
      <c r="G15" s="2" t="inlineStr">
        <is>
          <t>Gán QUAN_TRI_HE_THONG cho tài khoản đang có CHUYEN_VIEN; gán CHUYEN_VIEN cho tài khoản đang là QUAN_TRI_DU_LIEU.</t>
        </is>
      </c>
      <c r="H15" s="2" t="inlineStr">
        <is>
          <t>Cả hai bị từ chối: vai trò quản trị phải đứng riêng.</t>
        </is>
      </c>
      <c r="I15" s="2" t="inlineStr">
        <is>
          <t>security.spec.ts; authorization.spec.ts</t>
        </is>
      </c>
      <c r="J15" s="2" t="inlineStr">
        <is>
          <t>3/3 điều kiện đạt</t>
        </is>
      </c>
      <c r="K15" s="2" t="inlineStr">
        <is>
          <t>Đ</t>
        </is>
      </c>
      <c r="L15" s="2" t="inlineStr"/>
      <c r="M15" s="2" t="inlineStr">
        <is>
          <t>Evidence: evidence/UC-02/TC-02-03.json</t>
        </is>
      </c>
      <c r="N15" s="2" t="inlineStr">
        <is>
          <t>Claude (chạy tự động)</t>
        </is>
      </c>
      <c r="O15" s="2" t="inlineStr">
        <is>
          <t>2026-10-18</t>
        </is>
      </c>
    </row>
    <row r="16">
      <c r="A16" s="2" t="inlineStr">
        <is>
          <t>TC-02-04</t>
        </is>
      </c>
      <c r="B16" s="2" t="inlineStr">
        <is>
          <t>UC-02</t>
        </is>
      </c>
      <c r="C16" s="2" t="inlineStr">
        <is>
          <t>AC-02.3</t>
        </is>
      </c>
      <c r="D16" s="2" t="inlineStr">
        <is>
          <t>Âm</t>
        </is>
      </c>
      <c r="E16" s="2" t="inlineStr">
        <is>
          <t>P1</t>
        </is>
      </c>
      <c r="F16" s="2" t="inlineStr">
        <is>
          <t>quantri</t>
        </is>
      </c>
      <c r="G16" s="2" t="inlineStr">
        <is>
          <t>Cố gán vai trò cho chính tài khoản `quantri`; cố vô hiệu hóa chính mình.</t>
        </is>
      </c>
      <c r="H16" s="2" t="inlineStr">
        <is>
          <t>Cả hai bị từ chối.</t>
        </is>
      </c>
      <c r="I16" s="2" t="inlineStr">
        <is>
          <t>security.spec.ts; authorization.spec.ts</t>
        </is>
      </c>
      <c r="J16" s="2" t="inlineStr">
        <is>
          <t>3/3 điều kiện đạt</t>
        </is>
      </c>
      <c r="K16" s="2" t="inlineStr">
        <is>
          <t>Đ</t>
        </is>
      </c>
      <c r="L16" s="2" t="inlineStr"/>
      <c r="M16" s="2" t="inlineStr">
        <is>
          <t>Evidence: evidence/UC-02/TC-02-04.json</t>
        </is>
      </c>
      <c r="N16" s="2" t="inlineStr">
        <is>
          <t>Claude (chạy tự động)</t>
        </is>
      </c>
      <c r="O16" s="2" t="inlineStr">
        <is>
          <t>2026-10-18</t>
        </is>
      </c>
    </row>
    <row r="17">
      <c r="A17" s="2" t="inlineStr">
        <is>
          <t>TC-02-05</t>
        </is>
      </c>
      <c r="B17" s="2" t="inlineStr">
        <is>
          <t>UC-02</t>
        </is>
      </c>
      <c r="C17" s="2" t="inlineStr">
        <is>
          <t>AC-02.4</t>
        </is>
      </c>
      <c r="D17" s="2" t="inlineStr">
        <is>
          <t>Âm</t>
        </is>
      </c>
      <c r="E17" s="2" t="inlineStr">
        <is>
          <t>P1</t>
        </is>
      </c>
      <c r="F17" s="2" t="inlineStr">
        <is>
          <t>quantri</t>
        </is>
      </c>
      <c r="G17" s="2" t="inlineStr">
        <is>
          <t>Mở `/evaluations`; gọi `GET /api/evaluation/periods` và `POST .../evaluations/:id/approve`.</t>
        </is>
      </c>
      <c r="H17" s="2" t="inlineStr">
        <is>
          <t>Không có menu Đánh giá nghiệp vụ; API trả 403.</t>
        </is>
      </c>
      <c r="I17" s="2" t="inlineStr">
        <is>
          <t>app.e2e-spec.ts</t>
        </is>
      </c>
      <c r="J17" s="2" t="inlineStr">
        <is>
          <t>6/6 điều kiện đạt</t>
        </is>
      </c>
      <c r="K17" s="2" t="inlineStr">
        <is>
          <t>Đ</t>
        </is>
      </c>
      <c r="L17" s="2" t="inlineStr"/>
      <c r="M17" s="2" t="inlineStr">
        <is>
          <t>Evidence: evidence/UC-02/TC-02-05.json</t>
        </is>
      </c>
      <c r="N17" s="2" t="inlineStr">
        <is>
          <t>Claude (chạy tự động)</t>
        </is>
      </c>
      <c r="O17" s="2" t="inlineStr">
        <is>
          <t>2026-10-18</t>
        </is>
      </c>
    </row>
    <row r="18">
      <c r="A18" s="2" t="inlineStr">
        <is>
          <t>TC-02-06</t>
        </is>
      </c>
      <c r="B18" s="2" t="inlineStr">
        <is>
          <t>UC-02</t>
        </is>
      </c>
      <c r="C18" s="2" t="inlineStr">
        <is>
          <t>AC-02.5</t>
        </is>
      </c>
      <c r="D18" s="2" t="inlineStr">
        <is>
          <t>Chính</t>
        </is>
      </c>
      <c r="E18" s="2" t="inlineStr">
        <is>
          <t>P2</t>
        </is>
      </c>
      <c r="F18" s="2" t="inlineStr">
        <is>
          <t>quantri, nt01</t>
        </is>
      </c>
      <c r="G18" s="2" t="inlineStr">
        <is>
          <t>Như TC-01-06 nhưng với `nt01`.</t>
        </is>
      </c>
      <c r="H18" s="2" t="inlineStr">
        <is>
          <t>Phiên của `nt01` mất hiệu lực ngay.</t>
        </is>
      </c>
      <c r="I18" s="2" t="inlineStr">
        <is>
          <t>app.e2e-spec.ts</t>
        </is>
      </c>
      <c r="J18" s="2" t="inlineStr">
        <is>
          <t>3/3 điều kiện đạt</t>
        </is>
      </c>
      <c r="K18" s="2" t="inlineStr">
        <is>
          <t>Đ</t>
        </is>
      </c>
      <c r="L18" s="2" t="inlineStr"/>
      <c r="M18" s="2" t="inlineStr">
        <is>
          <t>Evidence: evidence/UC-02/TC-02-06.json</t>
        </is>
      </c>
      <c r="N18" s="2" t="inlineStr">
        <is>
          <t>Claude (chạy tự động)</t>
        </is>
      </c>
      <c r="O18" s="2" t="inlineStr">
        <is>
          <t>2026-10-18</t>
        </is>
      </c>
    </row>
    <row r="19">
      <c r="A19" s="2" t="inlineStr">
        <is>
          <t>TC-03-01</t>
        </is>
      </c>
      <c r="B19" s="2" t="inlineStr">
        <is>
          <t>UC-03</t>
        </is>
      </c>
      <c r="C19" s="2" t="inlineStr">
        <is>
          <t>AC-03.1</t>
        </is>
      </c>
      <c r="D19" s="2" t="inlineStr">
        <is>
          <t>Chính</t>
        </is>
      </c>
      <c r="E19" s="2" t="inlineStr">
        <is>
          <t>P1</t>
        </is>
      </c>
      <c r="F19" s="2" t="inlineStr">
        <is>
          <t>vanphong</t>
        </is>
      </c>
      <c r="G19" s="2" t="inlineStr">
        <is>
          <t>Mở `/organization` và `/org-chart`.</t>
        </is>
      </c>
      <c r="H19" s="2" t="inlineStr">
        <is>
          <t>Cây có Ban và các phòng (Văn phòng, Tổ chức cán bộ, Tổ chức đảng và đảng viên, Bảo vệ chính trị nội bộ…), vị trí theo cấp, người giữ vị trí.</t>
        </is>
      </c>
      <c r="I19" s="2" t="inlineStr">
        <is>
          <t>app.e2e-spec.ts</t>
        </is>
      </c>
      <c r="J19" s="2" t="inlineStr">
        <is>
          <t>12/12 điều kiện đạt</t>
        </is>
      </c>
      <c r="K19" s="2" t="inlineStr">
        <is>
          <t>Đ</t>
        </is>
      </c>
      <c r="L19" s="2" t="inlineStr"/>
      <c r="M19" s="2" t="inlineStr">
        <is>
          <t>Evidence: evidence/UC-03/TC-03-01.json</t>
        </is>
      </c>
      <c r="N19" s="2" t="inlineStr">
        <is>
          <t>Claude (chạy tự động)</t>
        </is>
      </c>
      <c r="O19" s="2" t="inlineStr">
        <is>
          <t>2026-10-18</t>
        </is>
      </c>
    </row>
    <row r="20">
      <c r="A20" s="2" t="inlineStr">
        <is>
          <t>TC-03-02</t>
        </is>
      </c>
      <c r="B20" s="2" t="inlineStr">
        <is>
          <t>UC-03</t>
        </is>
      </c>
      <c r="C20" s="2" t="inlineStr">
        <is>
          <t>AC-03.1</t>
        </is>
      </c>
      <c r="D20" s="2" t="inlineStr">
        <is>
          <t>Chính</t>
        </is>
      </c>
      <c r="E20" s="2" t="inlineStr">
        <is>
          <t>P1</t>
        </is>
      </c>
      <c r="F20" s="2" t="inlineStr">
        <is>
          <t>truongphong</t>
        </is>
      </c>
      <c r="G20" s="2" t="inlineStr">
        <is>
          <t>Mở hồ sơ một chuyên viên của phòng mình; mở hồ sơ chuyên viên phòng khác.</t>
        </is>
      </c>
      <c r="H20" s="2" t="inlineStr">
        <is>
          <t>Phòng mình xem được; phòng khác không thấy (hoặc bị từ chối) trừ khi có quyền xem toàn bộ.</t>
        </is>
      </c>
      <c r="I20" s="2" t="inlineStr">
        <is>
          <t>app.e2e-spec.ts</t>
        </is>
      </c>
      <c r="J20" s="2" t="inlineStr">
        <is>
          <t>5/5 điều kiện đạt</t>
        </is>
      </c>
      <c r="K20" s="2" t="inlineStr">
        <is>
          <t>Đ</t>
        </is>
      </c>
      <c r="L20" s="2" t="inlineStr"/>
      <c r="M20" s="2" t="inlineStr">
        <is>
          <t>Evidence: evidence/UC-03/TC-03-02.json | Phát hiện lệch tài liệu: bước 2 của TC ghi "phòng mình xem được hồ sơ"; thiết kế (thiết kế về hồ sơ cán bộ mở rộng) chỉ cho org:manage xem hồ sơ nhạy cảm. Hệ thống đúng thiết kế, sửa mô tả TC.</t>
        </is>
      </c>
      <c r="N20" s="2" t="inlineStr">
        <is>
          <t>Claude (chạy tự động)</t>
        </is>
      </c>
      <c r="O20" s="2" t="inlineStr">
        <is>
          <t>2026-10-18</t>
        </is>
      </c>
    </row>
    <row r="21">
      <c r="A21" s="2" t="inlineStr">
        <is>
          <t>TC-03-03</t>
        </is>
      </c>
      <c r="B21" s="2" t="inlineStr">
        <is>
          <t>UC-03</t>
        </is>
      </c>
      <c r="C21" s="2" t="inlineStr">
        <is>
          <t>AC-03.2</t>
        </is>
      </c>
      <c r="D21" s="2" t="inlineStr">
        <is>
          <t>Chính</t>
        </is>
      </c>
      <c r="E21" s="2" t="inlineStr">
        <is>
          <t>P1</t>
        </is>
      </c>
      <c r="F21" s="2" t="inlineStr">
        <is>
          <t>vanphong</t>
        </is>
      </c>
      <c r="G21" s="2" t="inlineStr">
        <is>
          <t>Tạo vị trí thử `NT-VT`; ngừng sử dụng với lý do; kích hoạt lại.</t>
        </is>
      </c>
      <c r="H21" s="2" t="inlineStr">
        <is>
          <t>Vị trí chuyển trạng thái ngừng sử dụng, không bị xóa; hiển thị lý do; kích hoạt lại được; nhật ký ghi trước và sau.</t>
        </is>
      </c>
      <c r="I21" s="2" t="inlineStr">
        <is>
          <t>app.e2e-spec.ts</t>
        </is>
      </c>
      <c r="J21" s="2" t="inlineStr">
        <is>
          <t>6/6 điều kiện đạt</t>
        </is>
      </c>
      <c r="K21" s="2" t="inlineStr">
        <is>
          <t>Đ</t>
        </is>
      </c>
      <c r="L21" s="2" t="inlineStr"/>
      <c r="M21" s="2" t="inlineStr">
        <is>
          <t>Evidence: evidence/UC-03/TC-03-03.json</t>
        </is>
      </c>
      <c r="N21" s="2" t="inlineStr">
        <is>
          <t>Claude (chạy tự động)</t>
        </is>
      </c>
      <c r="O21" s="2" t="inlineStr">
        <is>
          <t>2026-10-18</t>
        </is>
      </c>
    </row>
    <row r="22">
      <c r="A22" s="2" t="inlineStr">
        <is>
          <t>TC-03-04</t>
        </is>
      </c>
      <c r="B22" s="2" t="inlineStr">
        <is>
          <t>UC-03</t>
        </is>
      </c>
      <c r="C22" s="2" t="inlineStr">
        <is>
          <t>AC-03.2</t>
        </is>
      </c>
      <c r="D22" s="2" t="inlineStr">
        <is>
          <t>Âm</t>
        </is>
      </c>
      <c r="E22" s="2" t="inlineStr">
        <is>
          <t>P2</t>
        </is>
      </c>
      <c r="F22" s="2" t="inlineStr">
        <is>
          <t>vanphong</t>
        </is>
      </c>
      <c r="G22" s="2" t="inlineStr">
        <is>
          <t>Ngừng sử dụng đơn vị còn cán bộ đang giữ vị trí.</t>
        </is>
      </c>
      <c r="H22" s="2" t="inlineStr">
        <is>
          <t>Bị từ chối hoặc cảnh báo rõ ràng, dữ liệu không mất.</t>
        </is>
      </c>
      <c r="I22" s="2" t="inlineStr">
        <is>
          <t>app.e2e-spec.ts</t>
        </is>
      </c>
      <c r="J22" s="2" t="inlineStr">
        <is>
          <t>2/2 điều kiện đạt</t>
        </is>
      </c>
      <c r="K22" s="2" t="inlineStr">
        <is>
          <t>Đ</t>
        </is>
      </c>
      <c r="L22" s="2" t="inlineStr"/>
      <c r="M22" s="2" t="inlineStr">
        <is>
          <t>Evidence: evidence/UC-03/TC-03-04.json</t>
        </is>
      </c>
      <c r="N22" s="2" t="inlineStr">
        <is>
          <t>Claude (chạy tự động)</t>
        </is>
      </c>
      <c r="O22" s="2" t="inlineStr">
        <is>
          <t>2026-10-18</t>
        </is>
      </c>
    </row>
    <row r="23">
      <c r="A23" s="2" t="inlineStr">
        <is>
          <t>TC-03-05</t>
        </is>
      </c>
      <c r="B23" s="2" t="inlineStr">
        <is>
          <t>UC-03</t>
        </is>
      </c>
      <c r="C23" s="2" t="inlineStr">
        <is>
          <t>AC-03.3</t>
        </is>
      </c>
      <c r="D23" s="2" t="inlineStr">
        <is>
          <t>Chính</t>
        </is>
      </c>
      <c r="E23" s="2" t="inlineStr">
        <is>
          <t>P2</t>
        </is>
      </c>
      <c r="F23" s="2" t="inlineStr">
        <is>
          <t>vanphong</t>
        </is>
      </c>
      <c r="G23" s="2" t="inlineStr">
        <is>
          <t>Phân công một cán bộ giữ thêm vị trí kiêm nhiệm ở phòng khác.</t>
        </is>
      </c>
      <c r="H23" s="2" t="inlineStr">
        <is>
          <t>Cán bộ có hai phân công đồng thời; kỳ mới sinh hai phiếu đánh giá, mỗi phiếu điểm riêng.</t>
        </is>
      </c>
      <c r="I23" s="2" t="inlineStr">
        <is>
          <t>app.e2e-spec.ts</t>
        </is>
      </c>
      <c r="J23" s="2" t="inlineStr">
        <is>
          <t>3/3 điều kiện đạt</t>
        </is>
      </c>
      <c r="K23" s="2" t="inlineStr">
        <is>
          <t>Đ</t>
        </is>
      </c>
      <c r="L23" s="2" t="inlineStr"/>
      <c r="M23" s="2" t="inlineStr">
        <is>
          <t>Evidence: evidence/UC-03/TC-03-05.json</t>
        </is>
      </c>
      <c r="N23" s="2" t="inlineStr">
        <is>
          <t>Claude (chạy tự động)</t>
        </is>
      </c>
      <c r="O23" s="2" t="inlineStr">
        <is>
          <t>2026-10-18</t>
        </is>
      </c>
    </row>
    <row r="24">
      <c r="A24" s="2" t="inlineStr">
        <is>
          <t>TC-03-06</t>
        </is>
      </c>
      <c r="B24" s="2" t="inlineStr">
        <is>
          <t>UC-03</t>
        </is>
      </c>
      <c r="C24" s="2" t="inlineStr">
        <is>
          <t>AC-03.4</t>
        </is>
      </c>
      <c r="D24" s="2" t="inlineStr">
        <is>
          <t>Âm</t>
        </is>
      </c>
      <c r="E24" s="2" t="inlineStr">
        <is>
          <t>P1</t>
        </is>
      </c>
      <c r="F24" s="2" t="inlineStr">
        <is>
          <t>chuyenvien</t>
        </is>
      </c>
      <c r="G24" s="2" t="inlineStr">
        <is>
          <t>Mở `/organization`; gọi `POST /api/organization/units`.</t>
        </is>
      </c>
      <c r="H24" s="2" t="inlineStr">
        <is>
          <t>Không có trang chỉnh sửa (hoặc không có nút thêm, sửa); API 403.</t>
        </is>
      </c>
      <c r="I24" s="2" t="inlineStr">
        <is>
          <t>app.e2e-spec.ts</t>
        </is>
      </c>
      <c r="J24" s="2" t="inlineStr">
        <is>
          <t>7/7 điều kiện đạt</t>
        </is>
      </c>
      <c r="K24" s="2" t="inlineStr">
        <is>
          <t>Đ</t>
        </is>
      </c>
      <c r="L24" s="2" t="inlineStr"/>
      <c r="M24" s="2" t="inlineStr">
        <is>
          <t>Evidence: evidence/UC-03/TC-03-06.json</t>
        </is>
      </c>
      <c r="N24" s="2" t="inlineStr">
        <is>
          <t>Claude (chạy tự động)</t>
        </is>
      </c>
      <c r="O24" s="2" t="inlineStr">
        <is>
          <t>2026-10-18</t>
        </is>
      </c>
    </row>
    <row r="25">
      <c r="A25" s="2" t="inlineStr">
        <is>
          <t>TC-03-07</t>
        </is>
      </c>
      <c r="B25" s="2" t="inlineStr">
        <is>
          <t>UC-03</t>
        </is>
      </c>
      <c r="C25" s="2" t="inlineStr">
        <is>
          <t>AC-03.5</t>
        </is>
      </c>
      <c r="D25" s="2" t="inlineStr">
        <is>
          <t>Chính</t>
        </is>
      </c>
      <c r="E25" s="2" t="inlineStr">
        <is>
          <t>P2</t>
        </is>
      </c>
      <c r="F25" s="2" t="inlineStr">
        <is>
          <t>vanphong</t>
        </is>
      </c>
      <c r="G25" s="2" t="inlineStr">
        <is>
          <t>Chạy `npm run import-org -- "&lt;tệp&gt;" --dry-run`; chạy thật hai lần liên tiếp.</t>
        </is>
      </c>
      <c r="H25" s="2" t="inlineStr">
        <is>
          <t>Dry-run không ghi; chạy thật hai lần cho cùng số đơn vị, cán bộ (không trùng).</t>
        </is>
      </c>
      <c r="I25" s="2" t="inlineStr">
        <is>
          <t>org-import.spec.ts</t>
        </is>
      </c>
      <c r="J25" s="2" t="inlineStr">
        <is>
          <t>4/4 điều kiện đạt</t>
        </is>
      </c>
      <c r="K25" s="2" t="inlineStr">
        <is>
          <t>Đ</t>
        </is>
      </c>
      <c r="L25" s="2" t="inlineStr"/>
      <c r="M25" s="2" t="inlineStr">
        <is>
          <t>Evidence: evidence/UC-03/TC-03-07.json</t>
        </is>
      </c>
      <c r="N25" s="2" t="inlineStr">
        <is>
          <t>Claude (chạy tự động)</t>
        </is>
      </c>
      <c r="O25" s="2" t="inlineStr">
        <is>
          <t>2026-10-18</t>
        </is>
      </c>
    </row>
    <row r="26">
      <c r="A26" s="2" t="inlineStr">
        <is>
          <t>TC-03-08</t>
        </is>
      </c>
      <c r="B26" s="2" t="inlineStr">
        <is>
          <t>UC-03</t>
        </is>
      </c>
      <c r="C26" s="2" t="inlineStr">
        <is>
          <t>AC-03.6</t>
        </is>
      </c>
      <c r="D26" s="2" t="inlineStr">
        <is>
          <t>Chính</t>
        </is>
      </c>
      <c r="E26" s="2" t="inlineStr">
        <is>
          <t>P1</t>
        </is>
      </c>
      <c r="F26" s="2" t="inlineStr">
        <is>
          <t>vanphong</t>
        </is>
      </c>
      <c r="G26" s="2" t="inlineStr">
        <is>
          <t>Tạo vị trí A có cờ lãnh đạo, quản lý và vị trí B không có cờ; tạo hồ sơ kỳ cho hai người giữ.</t>
        </is>
      </c>
      <c r="H26" s="2" t="inlineStr">
        <is>
          <t>Hồ sơ A dùng bảng 05-HD/TU Phụ lục 03 và KPI chia 6; hồ sơ B dùng Nghị định 335 Mẫu số 01 và KPI chia 3.</t>
        </is>
      </c>
      <c r="I26" s="2" t="inlineStr">
        <is>
          <t>tests đơn vị cùng mô-đun</t>
        </is>
      </c>
      <c r="J26" s="2" t="inlineStr">
        <is>
          <t>2/2 điều kiện đạt</t>
        </is>
      </c>
      <c r="K26" s="2" t="inlineStr">
        <is>
          <t>Đ</t>
        </is>
      </c>
      <c r="L26" s="2" t="inlineStr"/>
      <c r="M26" s="2" t="inlineStr">
        <is>
          <t>Evidence: evidence/UC-03/TC-03-08.json</t>
        </is>
      </c>
      <c r="N26" s="2" t="inlineStr">
        <is>
          <t>Claude (chạy tự động)</t>
        </is>
      </c>
      <c r="O26" s="2" t="inlineStr">
        <is>
          <t>2026-10-18</t>
        </is>
      </c>
    </row>
    <row r="27">
      <c r="A27" s="2" t="inlineStr">
        <is>
          <t>TC-04-01</t>
        </is>
      </c>
      <c r="B27" s="2" t="inlineStr">
        <is>
          <t>UC-04</t>
        </is>
      </c>
      <c r="C27" s="2" t="inlineStr">
        <is>
          <t>AC-04.1</t>
        </is>
      </c>
      <c r="D27" s="2" t="inlineStr">
        <is>
          <t>Chính</t>
        </is>
      </c>
      <c r="E27" s="2" t="inlineStr">
        <is>
          <t>P1</t>
        </is>
      </c>
      <c r="F27" s="2" t="inlineStr">
        <is>
          <t>vanphong</t>
        </is>
      </c>
      <c r="G27" s="2" t="inlineStr">
        <is>
          <t>Mở `/catalog`.</t>
        </is>
      </c>
      <c r="H27" s="2" t="inlineStr">
        <is>
          <t>Cấu trúc Nhóm → Nhiệm vụ → Công việc, nhóm sắp A–Z, hiện nhãn phiên bản hiện hành.</t>
        </is>
      </c>
      <c r="I27" s="2" t="inlineStr">
        <is>
          <t>app.e2e-spec.ts</t>
        </is>
      </c>
      <c r="J27" s="2" t="inlineStr">
        <is>
          <t>6/6 điều kiện đạt</t>
        </is>
      </c>
      <c r="K27" s="2" t="inlineStr">
        <is>
          <t>Đ</t>
        </is>
      </c>
      <c r="L27" s="2" t="inlineStr"/>
      <c r="M27" s="2" t="inlineStr">
        <is>
          <t>Evidence: evidence/UC-04/TC-04-01.json</t>
        </is>
      </c>
      <c r="N27" s="2" t="inlineStr">
        <is>
          <t>Claude (chạy tự động)</t>
        </is>
      </c>
      <c r="O27" s="2" t="inlineStr">
        <is>
          <t>2026-10-18</t>
        </is>
      </c>
    </row>
    <row r="28">
      <c r="A28" s="2" t="inlineStr">
        <is>
          <t>TC-04-02</t>
        </is>
      </c>
      <c r="B28" s="2" t="inlineStr">
        <is>
          <t>UC-04</t>
        </is>
      </c>
      <c r="C28" s="2" t="inlineStr">
        <is>
          <t>AC-04.2</t>
        </is>
      </c>
      <c r="D28" s="2" t="inlineStr">
        <is>
          <t>Chính</t>
        </is>
      </c>
      <c r="E28" s="2" t="inlineStr">
        <is>
          <t>P1</t>
        </is>
      </c>
      <c r="F28" s="2" t="inlineStr">
        <is>
          <t>(quản trị chạy lệnh)</t>
        </is>
      </c>
      <c r="G28" s="2" t="inlineStr">
        <is>
          <t>Chạy `npm run import-catalog -- "&lt;tệp Excel&gt;" --label "NT" --dry-run`, rồi chạy thật.</t>
        </is>
      </c>
      <c r="H28" s="2" t="inlineStr">
        <is>
          <t>Dry-run không ghi; chạy thật tạo một **bản nháp mới**, bản đã duyệt hiện hành không đổi.</t>
        </is>
      </c>
      <c r="I28" s="2" t="inlineStr">
        <is>
          <t>catalog-import.spec.ts</t>
        </is>
      </c>
      <c r="J28" s="2" t="inlineStr">
        <is>
          <t>5/5 điều kiện đạt</t>
        </is>
      </c>
      <c r="K28" s="2" t="inlineStr">
        <is>
          <t>Đ</t>
        </is>
      </c>
      <c r="L28" s="2" t="inlineStr"/>
      <c r="M28" s="2" t="inlineStr">
        <is>
          <t>Evidence: evidence/UC-04/TC-04-02.json</t>
        </is>
      </c>
      <c r="N28" s="2" t="inlineStr">
        <is>
          <t>Claude (chạy tự động)</t>
        </is>
      </c>
      <c r="O28" s="2" t="inlineStr">
        <is>
          <t>2026-10-18</t>
        </is>
      </c>
    </row>
    <row r="29">
      <c r="A29" s="2" t="inlineStr">
        <is>
          <t>TC-04-03</t>
        </is>
      </c>
      <c r="B29" s="2" t="inlineStr">
        <is>
          <t>UC-04</t>
        </is>
      </c>
      <c r="C29" s="2" t="inlineStr">
        <is>
          <t>AC-04.1</t>
        </is>
      </c>
      <c r="D29" s="2" t="inlineStr">
        <is>
          <t>Chính</t>
        </is>
      </c>
      <c r="E29" s="2" t="inlineStr">
        <is>
          <t>P2</t>
        </is>
      </c>
      <c r="F29" s="2" t="inlineStr">
        <is>
          <t>vanphong</t>
        </is>
      </c>
      <c r="G29" s="2" t="inlineStr">
        <is>
          <t>Trên bản nháp thêm một nhóm mới, một nhiệm vụ, một công việc với hệ số 1,5.</t>
        </is>
      </c>
      <c r="H29" s="2" t="inlineStr">
        <is>
          <t>Lưu thành công; nhóm mới xếp đúng thứ tự A–Z.</t>
        </is>
      </c>
      <c r="I29" s="2" t="inlineStr">
        <is>
          <t>app.e2e-spec.ts</t>
        </is>
      </c>
      <c r="J29" s="2" t="inlineStr">
        <is>
          <t>5/5 điều kiện đạt</t>
        </is>
      </c>
      <c r="K29" s="2" t="inlineStr">
        <is>
          <t>Đ</t>
        </is>
      </c>
      <c r="L29" s="2" t="inlineStr"/>
      <c r="M29" s="2" t="inlineStr">
        <is>
          <t>Evidence: evidence/UC-04/TC-04-03.json</t>
        </is>
      </c>
      <c r="N29" s="2" t="inlineStr">
        <is>
          <t>Claude (chạy tự động)</t>
        </is>
      </c>
      <c r="O29" s="2" t="inlineStr">
        <is>
          <t>2026-10-18</t>
        </is>
      </c>
    </row>
    <row r="30">
      <c r="A30" s="2" t="inlineStr">
        <is>
          <t>TC-04-04</t>
        </is>
      </c>
      <c r="B30" s="2" t="inlineStr">
        <is>
          <t>UC-04</t>
        </is>
      </c>
      <c r="C30" s="2" t="inlineStr">
        <is>
          <t>AC-04.3</t>
        </is>
      </c>
      <c r="D30" s="2" t="inlineStr">
        <is>
          <t>Chính</t>
        </is>
      </c>
      <c r="E30" s="2" t="inlineStr">
        <is>
          <t>P1</t>
        </is>
      </c>
      <c r="F30" s="2" t="inlineStr">
        <is>
          <t>truongban</t>
        </is>
      </c>
      <c r="G30" s="2" t="inlineStr">
        <is>
          <t>Phê duyệt bản nháp NT.</t>
        </is>
      </c>
      <c r="H30" s="2" t="inlineStr">
        <is>
          <t>Bản nháp thành bản hiện hành; nhật ký phê duyệt; thông báo (nếu có).</t>
        </is>
      </c>
      <c r="I30" s="2" t="inlineStr">
        <is>
          <t>app.e2e-spec.ts</t>
        </is>
      </c>
      <c r="J30" s="2" t="inlineStr">
        <is>
          <t>3/3 điều kiện đạt</t>
        </is>
      </c>
      <c r="K30" s="2" t="inlineStr">
        <is>
          <t>Đ</t>
        </is>
      </c>
      <c r="L30" s="2" t="inlineStr"/>
      <c r="M30" s="2" t="inlineStr">
        <is>
          <t>Evidence: evidence/UC-04/TC-04-04.json</t>
        </is>
      </c>
      <c r="N30" s="2" t="inlineStr">
        <is>
          <t>Claude (chạy tự động)</t>
        </is>
      </c>
      <c r="O30" s="2" t="inlineStr">
        <is>
          <t>2026-10-18</t>
        </is>
      </c>
    </row>
    <row r="31">
      <c r="A31" s="2" t="inlineStr">
        <is>
          <t>TC-04-05</t>
        </is>
      </c>
      <c r="B31" s="2" t="inlineStr">
        <is>
          <t>UC-04</t>
        </is>
      </c>
      <c r="C31" s="2" t="inlineStr">
        <is>
          <t>AC-04.3</t>
        </is>
      </c>
      <c r="D31" s="2" t="inlineStr">
        <is>
          <t>Âm</t>
        </is>
      </c>
      <c r="E31" s="2" t="inlineStr">
        <is>
          <t>P1</t>
        </is>
      </c>
      <c r="F31" s="2" t="inlineStr">
        <is>
          <t>vanphong</t>
        </is>
      </c>
      <c r="G31" s="2" t="inlineStr">
        <is>
          <t>Cố phê duyệt bản nháp (chỉ Trưởng ban có quyền).</t>
        </is>
      </c>
      <c r="H31" s="2" t="inlineStr">
        <is>
          <t>Bị từ chối 403, không có nút Phê duyệt.</t>
        </is>
      </c>
      <c r="I31" s="2" t="inlineStr">
        <is>
          <t>app.e2e-spec.ts</t>
        </is>
      </c>
      <c r="J31" s="2" t="inlineStr">
        <is>
          <t>4/4 điều kiện đạt</t>
        </is>
      </c>
      <c r="K31" s="2" t="inlineStr">
        <is>
          <t>Đ</t>
        </is>
      </c>
      <c r="L31" s="2" t="inlineStr"/>
      <c r="M31" s="2" t="inlineStr">
        <is>
          <t>Evidence: evidence/UC-04/TC-04-05.json</t>
        </is>
      </c>
      <c r="N31" s="2" t="inlineStr">
        <is>
          <t>Claude (chạy tự động)</t>
        </is>
      </c>
      <c r="O31" s="2" t="inlineStr">
        <is>
          <t>2026-10-18</t>
        </is>
      </c>
    </row>
    <row r="32">
      <c r="A32" s="2" t="inlineStr">
        <is>
          <t>TC-04-06</t>
        </is>
      </c>
      <c r="B32" s="2" t="inlineStr">
        <is>
          <t>UC-04</t>
        </is>
      </c>
      <c r="C32" s="2" t="inlineStr">
        <is>
          <t>AC-04.3</t>
        </is>
      </c>
      <c r="D32" s="2" t="inlineStr">
        <is>
          <t>Âm</t>
        </is>
      </c>
      <c r="E32" s="2" t="inlineStr">
        <is>
          <t>P1</t>
        </is>
      </c>
      <c r="F32" s="2" t="inlineStr">
        <is>
          <t>vanphong</t>
        </is>
      </c>
      <c r="G32" s="2" t="inlineStr">
        <is>
          <t>Thêm, sửa, xóa công việc trong bản đã duyệt.</t>
        </is>
      </c>
      <c r="H32" s="2" t="inlineStr">
        <is>
          <t>Bị từ chối; yêu cầu tạo bản nháp mới.</t>
        </is>
      </c>
      <c r="I32" s="2" t="inlineStr">
        <is>
          <t>app.e2e-spec.ts</t>
        </is>
      </c>
      <c r="J32" s="2" t="inlineStr">
        <is>
          <t>5/5 điều kiện đạt</t>
        </is>
      </c>
      <c r="K32" s="2" t="inlineStr">
        <is>
          <t>Đ</t>
        </is>
      </c>
      <c r="L32" s="2" t="inlineStr"/>
      <c r="M32" s="2" t="inlineStr">
        <is>
          <t>Evidence: evidence/UC-04/TC-04-06.json</t>
        </is>
      </c>
      <c r="N32" s="2" t="inlineStr">
        <is>
          <t>Claude (chạy tự động)</t>
        </is>
      </c>
      <c r="O32" s="2" t="inlineStr">
        <is>
          <t>2026-10-18</t>
        </is>
      </c>
    </row>
    <row r="33">
      <c r="A33" s="2" t="inlineStr">
        <is>
          <t>TC-04-07</t>
        </is>
      </c>
      <c r="B33" s="2" t="inlineStr">
        <is>
          <t>UC-04</t>
        </is>
      </c>
      <c r="C33" s="2" t="inlineStr">
        <is>
          <t>AC-04.4</t>
        </is>
      </c>
      <c r="D33" s="2" t="inlineStr">
        <is>
          <t>Chính</t>
        </is>
      </c>
      <c r="E33" s="2" t="inlineStr">
        <is>
          <t>P2</t>
        </is>
      </c>
      <c r="F33" s="2" t="inlineStr">
        <is>
          <t>vanphong, truongphong</t>
        </is>
      </c>
      <c r="G33" s="2" t="inlineStr">
        <is>
          <t>Đặt công việc X chỉ áp dụng cho vị trí Chuyên viên phòng Tổ chức cán bộ; truongphong phòng khác giao X.</t>
        </is>
      </c>
      <c r="H33" s="2" t="inlineStr">
        <is>
          <t>Việc X không giao được cho người ngoài phạm vi; hệ thống nêu rõ lý do.</t>
        </is>
      </c>
      <c r="I33" s="2" t="inlineStr">
        <is>
          <t>app.e2e-spec.ts</t>
        </is>
      </c>
      <c r="J33" s="2" t="inlineStr">
        <is>
          <t>2/2 điều kiện đạt</t>
        </is>
      </c>
      <c r="K33" s="2" t="inlineStr">
        <is>
          <t>Đ</t>
        </is>
      </c>
      <c r="L33" s="2" t="inlineStr"/>
      <c r="M33" s="2" t="inlineStr">
        <is>
          <t>Evidence: evidence/UC-04/TC-04-07.json</t>
        </is>
      </c>
      <c r="N33" s="2" t="inlineStr">
        <is>
          <t>Claude (chạy tự động)</t>
        </is>
      </c>
      <c r="O33" s="2" t="inlineStr">
        <is>
          <t>2026-10-18</t>
        </is>
      </c>
    </row>
    <row r="34">
      <c r="A34" s="2" t="inlineStr">
        <is>
          <t>TC-04-08</t>
        </is>
      </c>
      <c r="B34" s="2" t="inlineStr">
        <is>
          <t>UC-04</t>
        </is>
      </c>
      <c r="C34" s="2" t="inlineStr">
        <is>
          <t>AC-04.5</t>
        </is>
      </c>
      <c r="D34" s="2" t="inlineStr">
        <is>
          <t>Chính</t>
        </is>
      </c>
      <c r="E34" s="2" t="inlineStr">
        <is>
          <t>P2</t>
        </is>
      </c>
      <c r="F34" s="2" t="inlineStr">
        <is>
          <t>vanphong</t>
        </is>
      </c>
      <c r="G34" s="2" t="inlineStr">
        <is>
          <t>Sửa hệ số quy đổi của công việc ở bản nháp; xem hồ sơ dùng bản này (sau khi duyệt).</t>
        </is>
      </c>
      <c r="H34" s="2" t="inlineStr">
        <is>
          <t>Hệ số hiển thị đúng và được dùng làm c trong công thức.</t>
        </is>
      </c>
      <c r="I34" s="2" t="inlineStr">
        <is>
          <t>tests đơn vị cùng mô-đun</t>
        </is>
      </c>
      <c r="J34" s="2" t="inlineStr">
        <is>
          <t>2/2 điều kiện đạt</t>
        </is>
      </c>
      <c r="K34" s="2" t="inlineStr">
        <is>
          <t>Đ</t>
        </is>
      </c>
      <c r="L34" s="2" t="inlineStr"/>
      <c r="M34" s="2" t="inlineStr">
        <is>
          <t>Evidence: evidence/UC-04/TC-04-08.json</t>
        </is>
      </c>
      <c r="N34" s="2" t="inlineStr">
        <is>
          <t>Claude (chạy tự động)</t>
        </is>
      </c>
      <c r="O34" s="2" t="inlineStr">
        <is>
          <t>2026-10-18</t>
        </is>
      </c>
    </row>
    <row r="35">
      <c r="A35" s="2" t="inlineStr">
        <is>
          <t>TC-05-01</t>
        </is>
      </c>
      <c r="B35" s="2" t="inlineStr">
        <is>
          <t>UC-05</t>
        </is>
      </c>
      <c r="C35" s="2" t="inlineStr">
        <is>
          <t>AC-05.1, AC-05.3</t>
        </is>
      </c>
      <c r="D35" s="2" t="inlineStr">
        <is>
          <t>Chính</t>
        </is>
      </c>
      <c r="E35" s="2" t="inlineStr">
        <is>
          <t>P1</t>
        </is>
      </c>
      <c r="F35" s="2" t="inlineStr">
        <is>
          <t>truongphong, chuyenvien</t>
        </is>
      </c>
      <c r="G35" s="2" t="inlineStr">
        <is>
          <t>1) truongphong vào `/tasks`, đặt nhiệm vụ cho chuyenvien. 2) Thêm việc từ danh mục: số lượng 10, hạn cuối tháng. 3) Đăng nhập chuyenvien.</t>
        </is>
      </c>
      <c r="H35" s="2" t="inlineStr">
        <is>
          <t>chuyenvien thấy việc trong danh sách và có thông báo giao việc; số lượng và hạn đúng.</t>
        </is>
      </c>
      <c r="I35" s="2" t="inlineStr">
        <is>
          <t>app.e2e-spec.ts</t>
        </is>
      </c>
      <c r="J35" s="2" t="inlineStr">
        <is>
          <t>7/7 điều kiện đạt</t>
        </is>
      </c>
      <c r="K35" s="2" t="inlineStr">
        <is>
          <t>Đ</t>
        </is>
      </c>
      <c r="L35" s="2" t="inlineStr"/>
      <c r="M35" s="2" t="inlineStr">
        <is>
          <t>Evidence: evidence/UC-05/TC-05-01.json | Lệch tài liệu: chuyenvien có cấp trên trực tiếp là Phó Trưởng phòng (phophong); trưởng phòng không có quyền giao trực tiếp cho chuyên viên (403). Dùng phophong thay truongphong.</t>
        </is>
      </c>
      <c r="N35" s="2" t="inlineStr">
        <is>
          <t>Claude (chạy tự động)</t>
        </is>
      </c>
      <c r="O35" s="2" t="inlineStr">
        <is>
          <t>2026-10-18</t>
        </is>
      </c>
    </row>
    <row r="36">
      <c r="A36" s="2" t="inlineStr">
        <is>
          <t>TC-05-02</t>
        </is>
      </c>
      <c r="B36" s="2" t="inlineStr">
        <is>
          <t>UC-05</t>
        </is>
      </c>
      <c r="C36" s="2" t="inlineStr">
        <is>
          <t>AC-05.1</t>
        </is>
      </c>
      <c r="D36" s="2" t="inlineStr">
        <is>
          <t>Âm</t>
        </is>
      </c>
      <c r="E36" s="2" t="inlineStr">
        <is>
          <t>P1</t>
        </is>
      </c>
      <c r="F36" s="2" t="inlineStr">
        <is>
          <t>truongphong</t>
        </is>
      </c>
      <c r="G36" s="2" t="inlineStr">
        <is>
          <t>Thử giao việc cho cán bộ không phải cấp dưới trực tiếp (phòng khác hoặc cấp trên).</t>
        </is>
      </c>
      <c r="H36" s="2" t="inlineStr">
        <is>
          <t>Bị từ chối, nêu lý do.</t>
        </is>
      </c>
      <c r="I36" s="2" t="inlineStr">
        <is>
          <t>app.e2e-spec.ts</t>
        </is>
      </c>
      <c r="J36" s="2" t="inlineStr">
        <is>
          <t>3/3 điều kiện đạt</t>
        </is>
      </c>
      <c r="K36" s="2" t="inlineStr">
        <is>
          <t>Đ</t>
        </is>
      </c>
      <c r="L36" s="2" t="inlineStr"/>
      <c r="M36" s="2" t="inlineStr">
        <is>
          <t>Evidence: evidence/UC-05/TC-05-02.json</t>
        </is>
      </c>
      <c r="N36" s="2" t="inlineStr">
        <is>
          <t>Claude (chạy tự động)</t>
        </is>
      </c>
      <c r="O36" s="2" t="inlineStr">
        <is>
          <t>2026-10-18</t>
        </is>
      </c>
    </row>
    <row r="37">
      <c r="A37" s="2" t="inlineStr">
        <is>
          <t>TC-05-03</t>
        </is>
      </c>
      <c r="B37" s="2" t="inlineStr">
        <is>
          <t>UC-05</t>
        </is>
      </c>
      <c r="C37" s="2" t="inlineStr">
        <is>
          <t>AC-05.2</t>
        </is>
      </c>
      <c r="D37" s="2" t="inlineStr">
        <is>
          <t>Âm</t>
        </is>
      </c>
      <c r="E37" s="2" t="inlineStr">
        <is>
          <t>P2</t>
        </is>
      </c>
      <c r="F37" s="2" t="inlineStr">
        <is>
          <t>truongphong</t>
        </is>
      </c>
      <c r="G37" s="2" t="inlineStr">
        <is>
          <t>Giao công việc không có trong danh mục hiện hành (gọi API với mã giả).</t>
        </is>
      </c>
      <c r="H37" s="2" t="inlineStr">
        <is>
          <t>Bị từ chối 400/404.</t>
        </is>
      </c>
      <c r="I37" s="2" t="inlineStr">
        <is>
          <t>app.e2e-spec.ts</t>
        </is>
      </c>
      <c r="J37" s="2" t="inlineStr">
        <is>
          <t>2/2 điều kiện đạt</t>
        </is>
      </c>
      <c r="K37" s="2" t="inlineStr">
        <is>
          <t>Đ</t>
        </is>
      </c>
      <c r="L37" s="2" t="inlineStr"/>
      <c r="M37" s="2" t="inlineStr">
        <is>
          <t>Evidence: evidence/UC-05/TC-05-03.json</t>
        </is>
      </c>
      <c r="N37" s="2" t="inlineStr">
        <is>
          <t>Claude (chạy tự động)</t>
        </is>
      </c>
      <c r="O37" s="2" t="inlineStr">
        <is>
          <t>2026-10-18</t>
        </is>
      </c>
    </row>
    <row r="38">
      <c r="A38" s="2" t="inlineStr">
        <is>
          <t>TC-05-04</t>
        </is>
      </c>
      <c r="B38" s="2" t="inlineStr">
        <is>
          <t>UC-05</t>
        </is>
      </c>
      <c r="C38" s="2" t="inlineStr">
        <is>
          <t>AC-05.4</t>
        </is>
      </c>
      <c r="D38" s="2" t="inlineStr">
        <is>
          <t>Chính</t>
        </is>
      </c>
      <c r="E38" s="2" t="inlineStr">
        <is>
          <t>P2</t>
        </is>
      </c>
      <c r="F38" s="2" t="inlineStr">
        <is>
          <t>truongphong, phophong</t>
        </is>
      </c>
      <c r="G38" s="2" t="inlineStr">
        <is>
          <t>Thêm phophong làm người duyệt (cc) và người tham vấn; chuyenvien trao đổi, đính kèm một tệp PDF nhỏ.</t>
        </is>
      </c>
      <c r="H38" s="2" t="inlineStr">
        <is>
          <t>Mọi người thấy cuộc trao đổi; tải tệp về đúng nội dung (so sánh băm).</t>
        </is>
      </c>
      <c r="I38" s="2" t="inlineStr">
        <is>
          <t>app.e2e-spec.ts</t>
        </is>
      </c>
      <c r="J38" s="2" t="inlineStr">
        <is>
          <t>6/6 điều kiện đạt</t>
        </is>
      </c>
      <c r="K38" s="2" t="inlineStr">
        <is>
          <t>Đ</t>
        </is>
      </c>
      <c r="L38" s="2" t="inlineStr"/>
      <c r="M38" s="2" t="inlineStr">
        <is>
          <t>Evidence: evidence/UC-05/TC-05-04.json</t>
        </is>
      </c>
      <c r="N38" s="2" t="inlineStr">
        <is>
          <t>Claude (chạy tự động)</t>
        </is>
      </c>
      <c r="O38" s="2" t="inlineStr">
        <is>
          <t>2026-10-18</t>
        </is>
      </c>
    </row>
    <row r="39">
      <c r="A39" s="2" t="inlineStr">
        <is>
          <t>TC-05-05</t>
        </is>
      </c>
      <c r="B39" s="2" t="inlineStr">
        <is>
          <t>UC-05</t>
        </is>
      </c>
      <c r="C39" s="2" t="inlineStr">
        <is>
          <t>AC-05.3</t>
        </is>
      </c>
      <c r="D39" s="2" t="inlineStr">
        <is>
          <t>Âm</t>
        </is>
      </c>
      <c r="E39" s="2" t="inlineStr">
        <is>
          <t>P2</t>
        </is>
      </c>
      <c r="F39" s="2" t="inlineStr">
        <is>
          <t>chuyenvien</t>
        </is>
      </c>
      <c r="G39" s="2" t="inlineStr">
        <is>
          <t>Xem việc của người khác bằng cách đổi mã trong đường dẫn.</t>
        </is>
      </c>
      <c r="H39" s="2" t="inlineStr">
        <is>
          <t>Không xem được (403/404).</t>
        </is>
      </c>
      <c r="I39" s="2" t="inlineStr">
        <is>
          <t>app.e2e-spec.ts</t>
        </is>
      </c>
      <c r="J39" s="2" t="inlineStr">
        <is>
          <t>3/3 điều kiện đạt</t>
        </is>
      </c>
      <c r="K39" s="2" t="inlineStr">
        <is>
          <t>Đ</t>
        </is>
      </c>
      <c r="L39" s="2" t="inlineStr"/>
      <c r="M39" s="2" t="inlineStr">
        <is>
          <t>Evidence: evidence/UC-05/TC-05-05.json</t>
        </is>
      </c>
      <c r="N39" s="2" t="inlineStr">
        <is>
          <t>Claude (chạy tự động)</t>
        </is>
      </c>
      <c r="O39" s="2" t="inlineStr">
        <is>
          <t>2026-10-18</t>
        </is>
      </c>
    </row>
    <row r="40">
      <c r="A40" s="2" t="inlineStr">
        <is>
          <t>TC-06-01</t>
        </is>
      </c>
      <c r="B40" s="2" t="inlineStr">
        <is>
          <t>UC-06</t>
        </is>
      </c>
      <c r="C40" s="2" t="inlineStr">
        <is>
          <t>AC-06.1</t>
        </is>
      </c>
      <c r="D40" s="2" t="inlineStr">
        <is>
          <t>Chính</t>
        </is>
      </c>
      <c r="E40" s="2" t="inlineStr">
        <is>
          <t>P1</t>
        </is>
      </c>
      <c r="F40" s="2" t="inlineStr">
        <is>
          <t>chuyenvien, truongphong</t>
        </is>
      </c>
      <c r="G40" s="2" t="inlineStr">
        <is>
          <t>1) chuyenvien báo cáo hoàn thành sau hạn H. 2) truongphong xác nhận.</t>
        </is>
      </c>
      <c r="H40" s="2" t="inlineStr">
        <is>
          <t>Số lần chậm của việc là 1; số lượng hoàn thành tăng theo báo cáo.</t>
        </is>
      </c>
      <c r="I40" s="2" t="inlineStr">
        <is>
          <t>app.e2e-spec.ts</t>
        </is>
      </c>
      <c r="J40" s="2" t="inlineStr">
        <is>
          <t>4/4 điều kiện đạt</t>
        </is>
      </c>
      <c r="K40" s="2" t="inlineStr">
        <is>
          <t>Đ</t>
        </is>
      </c>
      <c r="L40" s="2" t="inlineStr"/>
      <c r="M40" s="2" t="inlineStr">
        <is>
          <t>Evidence: evidence/UC-06/TC-06-01.json</t>
        </is>
      </c>
      <c r="N40" s="2" t="inlineStr">
        <is>
          <t>Claude (chạy tự động)</t>
        </is>
      </c>
      <c r="O40" s="2" t="inlineStr">
        <is>
          <t>2026-10-18</t>
        </is>
      </c>
    </row>
    <row r="41">
      <c r="A41" s="2" t="inlineStr">
        <is>
          <t>TC-06-02</t>
        </is>
      </c>
      <c r="B41" s="2" t="inlineStr">
        <is>
          <t>UC-06</t>
        </is>
      </c>
      <c r="C41" s="2" t="inlineStr">
        <is>
          <t>AC-06.1</t>
        </is>
      </c>
      <c r="D41" s="2" t="inlineStr">
        <is>
          <t>Chính</t>
        </is>
      </c>
      <c r="E41" s="2" t="inlineStr">
        <is>
          <t>P1</t>
        </is>
      </c>
      <c r="F41" s="2" t="inlineStr">
        <is>
          <t>chuyenvien, truongphong</t>
        </is>
      </c>
      <c r="G41" s="2" t="inlineStr">
        <is>
          <t>Báo cáo và xác nhận **trước** hạn.</t>
        </is>
      </c>
      <c r="H41" s="2" t="inlineStr">
        <is>
          <t>Số lần chậm giữ 0.</t>
        </is>
      </c>
      <c r="I41" s="2" t="inlineStr">
        <is>
          <t>app.e2e-spec.ts</t>
        </is>
      </c>
      <c r="J41" s="2" t="inlineStr">
        <is>
          <t>2/2 điều kiện đạt</t>
        </is>
      </c>
      <c r="K41" s="2" t="inlineStr">
        <is>
          <t>Đ</t>
        </is>
      </c>
      <c r="L41" s="2" t="inlineStr"/>
      <c r="M41" s="2" t="inlineStr">
        <is>
          <t>Evidence: evidence/UC-06/TC-06-02.json</t>
        </is>
      </c>
      <c r="N41" s="2" t="inlineStr">
        <is>
          <t>Claude (chạy tự động)</t>
        </is>
      </c>
      <c r="O41" s="2" t="inlineStr">
        <is>
          <t>2026-10-18</t>
        </is>
      </c>
    </row>
    <row r="42">
      <c r="A42" s="2" t="inlineStr">
        <is>
          <t>TC-06-03</t>
        </is>
      </c>
      <c r="B42" s="2" t="inlineStr">
        <is>
          <t>UC-06</t>
        </is>
      </c>
      <c r="C42" s="2" t="inlineStr">
        <is>
          <t>AC-06.2</t>
        </is>
      </c>
      <c r="D42" s="2" t="inlineStr">
        <is>
          <t>Chính</t>
        </is>
      </c>
      <c r="E42" s="2" t="inlineStr">
        <is>
          <t>P1</t>
        </is>
      </c>
      <c r="F42" s="2" t="inlineStr">
        <is>
          <t>truongphong</t>
        </is>
      </c>
      <c r="G42" s="2" t="inlineStr">
        <is>
          <t>Từ chối báo cáo, chọn "sai sót lớn về nội dung", nêu lý do.</t>
        </is>
      </c>
      <c r="H42" s="2" t="inlineStr">
        <is>
          <t>Số lần chưa đạt (R) tăng 1; chuyenvien nhận thông báo và phải làm lại.</t>
        </is>
      </c>
      <c r="I42" s="2" t="inlineStr">
        <is>
          <t>app.e2e-spec.ts</t>
        </is>
      </c>
      <c r="J42" s="2" t="inlineStr">
        <is>
          <t>4/4 điều kiện đạt</t>
        </is>
      </c>
      <c r="K42" s="2" t="inlineStr">
        <is>
          <t>Đ</t>
        </is>
      </c>
      <c r="L42" s="2" t="inlineStr"/>
      <c r="M42" s="2" t="inlineStr">
        <is>
          <t>Evidence: evidence/UC-06/TC-06-03.json</t>
        </is>
      </c>
      <c r="N42" s="2" t="inlineStr">
        <is>
          <t>Claude (chạy tự động)</t>
        </is>
      </c>
      <c r="O42" s="2" t="inlineStr">
        <is>
          <t>2026-10-18</t>
        </is>
      </c>
    </row>
    <row r="43">
      <c r="A43" s="2" t="inlineStr">
        <is>
          <t>TC-06-04</t>
        </is>
      </c>
      <c r="B43" s="2" t="inlineStr">
        <is>
          <t>UC-06</t>
        </is>
      </c>
      <c r="C43" s="2" t="inlineStr">
        <is>
          <t>AC-06.2</t>
        </is>
      </c>
      <c r="D43" s="2" t="inlineStr">
        <is>
          <t>Chính</t>
        </is>
      </c>
      <c r="E43" s="2" t="inlineStr">
        <is>
          <t>P1</t>
        </is>
      </c>
      <c r="F43" s="2" t="inlineStr">
        <is>
          <t>truongphong</t>
        </is>
      </c>
      <c r="G43" s="2" t="inlineStr">
        <is>
          <t>Từ chối báo cáo khác, chọn lý do nhỏ.</t>
        </is>
      </c>
      <c r="H43" s="2" t="inlineStr">
        <is>
          <t>R **không** tăng; chỉ yêu cầu làm lại.</t>
        </is>
      </c>
      <c r="I43" s="2" t="inlineStr">
        <is>
          <t>app.e2e-spec.ts</t>
        </is>
      </c>
      <c r="J43" s="2" t="inlineStr">
        <is>
          <t>3/3 điều kiện đạt</t>
        </is>
      </c>
      <c r="K43" s="2" t="inlineStr">
        <is>
          <t>Đ</t>
        </is>
      </c>
      <c r="L43" s="2" t="inlineStr"/>
      <c r="M43" s="2" t="inlineStr">
        <is>
          <t>Evidence: evidence/UC-06/TC-06-04.json</t>
        </is>
      </c>
      <c r="N43" s="2" t="inlineStr">
        <is>
          <t>Claude (chạy tự động)</t>
        </is>
      </c>
      <c r="O43" s="2" t="inlineStr">
        <is>
          <t>2026-10-18</t>
        </is>
      </c>
    </row>
    <row r="44">
      <c r="A44" s="2" t="inlineStr">
        <is>
          <t>TC-06-05</t>
        </is>
      </c>
      <c r="B44" s="2" t="inlineStr">
        <is>
          <t>UC-06</t>
        </is>
      </c>
      <c r="C44" s="2" t="inlineStr">
        <is>
          <t>AC-06.3</t>
        </is>
      </c>
      <c r="D44" s="2" t="inlineStr">
        <is>
          <t>Âm</t>
        </is>
      </c>
      <c r="E44" s="2" t="inlineStr">
        <is>
          <t>P1</t>
        </is>
      </c>
      <c r="F44" s="2" t="inlineStr">
        <is>
          <t>chuyenvien</t>
        </is>
      </c>
      <c r="G44" s="2" t="inlineStr">
        <is>
          <t>Cố xác nhận báo cáo của chính mình (API `confirm`).</t>
        </is>
      </c>
      <c r="H44" s="2" t="inlineStr">
        <is>
          <t>Bị từ chối 403.</t>
        </is>
      </c>
      <c r="I44" s="2" t="inlineStr">
        <is>
          <t>app.e2e-spec.ts</t>
        </is>
      </c>
      <c r="J44" s="2" t="inlineStr">
        <is>
          <t>2/2 điều kiện đạt</t>
        </is>
      </c>
      <c r="K44" s="2" t="inlineStr">
        <is>
          <t>Đ</t>
        </is>
      </c>
      <c r="L44" s="2" t="inlineStr"/>
      <c r="M44" s="2" t="inlineStr">
        <is>
          <t>Evidence: evidence/UC-06/TC-06-05.json</t>
        </is>
      </c>
      <c r="N44" s="2" t="inlineStr">
        <is>
          <t>Claude (chạy tự động)</t>
        </is>
      </c>
      <c r="O44" s="2" t="inlineStr">
        <is>
          <t>2026-10-18</t>
        </is>
      </c>
    </row>
    <row r="45">
      <c r="A45" s="2" t="inlineStr">
        <is>
          <t>TC-06-06</t>
        </is>
      </c>
      <c r="B45" s="2" t="inlineStr">
        <is>
          <t>UC-06</t>
        </is>
      </c>
      <c r="C45" s="2" t="inlineStr">
        <is>
          <t>AC-06.4</t>
        </is>
      </c>
      <c r="D45" s="2" t="inlineStr">
        <is>
          <t>Chính</t>
        </is>
      </c>
      <c r="E45" s="2" t="inlineStr">
        <is>
          <t>P1</t>
        </is>
      </c>
      <c r="F45" s="2" t="inlineStr">
        <is>
          <t>truongphong</t>
        </is>
      </c>
      <c r="G45" s="2" t="inlineStr">
        <is>
          <t>Cấp miễn trừ cho lần chậm ở TC-06-01 với nguyên nhân khách quan, căn cứ ít nhất 10 ký tự.</t>
        </is>
      </c>
      <c r="H45" s="2" t="inlineStr">
        <is>
          <t>Số lần chậm tính điểm về 0, số lần được miễn hiện riêng; chuyenvien nhận thông báo; nhật ký `tasking.waiver.grant`.</t>
        </is>
      </c>
      <c r="I45" s="2" t="inlineStr">
        <is>
          <t>waiver.spec.ts</t>
        </is>
      </c>
      <c r="J45" s="2" t="inlineStr">
        <is>
          <t>5/5 điều kiện đạt</t>
        </is>
      </c>
      <c r="K45" s="2" t="inlineStr">
        <is>
          <t>Đ</t>
        </is>
      </c>
      <c r="L45" s="2" t="inlineStr"/>
      <c r="M45" s="2" t="inlineStr">
        <is>
          <t>Evidence: evidence/UC-06/TC-06-06.json</t>
        </is>
      </c>
      <c r="N45" s="2" t="inlineStr">
        <is>
          <t>Claude (chạy tự động)</t>
        </is>
      </c>
      <c r="O45" s="2" t="inlineStr">
        <is>
          <t>2026-10-18</t>
        </is>
      </c>
    </row>
    <row r="46">
      <c r="A46" s="2" t="inlineStr">
        <is>
          <t>TC-06-07</t>
        </is>
      </c>
      <c r="B46" s="2" t="inlineStr">
        <is>
          <t>UC-06</t>
        </is>
      </c>
      <c r="C46" s="2" t="inlineStr">
        <is>
          <t>AC-06.4</t>
        </is>
      </c>
      <c r="D46" s="2" t="inlineStr">
        <is>
          <t>Âm</t>
        </is>
      </c>
      <c r="E46" s="2" t="inlineStr">
        <is>
          <t>P1</t>
        </is>
      </c>
      <c r="F46" s="2" t="inlineStr">
        <is>
          <t>truongphong</t>
        </is>
      </c>
      <c r="G46" s="2" t="inlineStr">
        <is>
          <t>Cấp miễn trừ với căn cứ 5 ký tự; cấp lần hai cho cùng báo cáo; cấp cho báo cáo không chậm, không chưa đạt.</t>
        </is>
      </c>
      <c r="H46" s="2" t="inlineStr">
        <is>
          <t>Cả ba bị từ chối.</t>
        </is>
      </c>
      <c r="I46" s="2" t="inlineStr">
        <is>
          <t>waiver.spec.ts</t>
        </is>
      </c>
      <c r="J46" s="2" t="inlineStr">
        <is>
          <t>4/4 điều kiện đạt</t>
        </is>
      </c>
      <c r="K46" s="2" t="inlineStr">
        <is>
          <t>Đ</t>
        </is>
      </c>
      <c r="L46" s="2" t="inlineStr"/>
      <c r="M46" s="2" t="inlineStr">
        <is>
          <t>Evidence: evidence/UC-06/TC-06-07.json</t>
        </is>
      </c>
      <c r="N46" s="2" t="inlineStr">
        <is>
          <t>Claude (chạy tự động)</t>
        </is>
      </c>
      <c r="O46" s="2" t="inlineStr">
        <is>
          <t>2026-10-18</t>
        </is>
      </c>
    </row>
    <row r="47">
      <c r="A47" s="2" t="inlineStr">
        <is>
          <t>TC-06-08</t>
        </is>
      </c>
      <c r="B47" s="2" t="inlineStr">
        <is>
          <t>UC-06</t>
        </is>
      </c>
      <c r="C47" s="2" t="inlineStr">
        <is>
          <t>AC-06.4</t>
        </is>
      </c>
      <c r="D47" s="2" t="inlineStr">
        <is>
          <t>Chính</t>
        </is>
      </c>
      <c r="E47" s="2" t="inlineStr">
        <is>
          <t>P2</t>
        </is>
      </c>
      <c r="F47" s="2" t="inlineStr">
        <is>
          <t>truongphong</t>
        </is>
      </c>
      <c r="G47" s="2" t="inlineStr">
        <is>
          <t>Thu hồi miễn trừ.</t>
        </is>
      </c>
      <c r="H47" s="2" t="inlineStr">
        <is>
          <t>Số lần chậm tính lại; nhật ký `tasking.waiver.revoke`; thông báo.</t>
        </is>
      </c>
      <c r="I47" s="2" t="inlineStr">
        <is>
          <t>waiver.spec.ts</t>
        </is>
      </c>
      <c r="J47" s="2" t="inlineStr">
        <is>
          <t>3/3 điều kiện đạt</t>
        </is>
      </c>
      <c r="K47" s="2" t="inlineStr">
        <is>
          <t>Đ</t>
        </is>
      </c>
      <c r="L47" s="2" t="inlineStr"/>
      <c r="M47" s="2" t="inlineStr">
        <is>
          <t>Evidence: evidence/UC-06/TC-06-08.json</t>
        </is>
      </c>
      <c r="N47" s="2" t="inlineStr">
        <is>
          <t>Claude (chạy tự động)</t>
        </is>
      </c>
      <c r="O47" s="2" t="inlineStr">
        <is>
          <t>2026-10-18</t>
        </is>
      </c>
    </row>
    <row r="48">
      <c r="A48" s="2" t="inlineStr">
        <is>
          <t>TC-06-09</t>
        </is>
      </c>
      <c r="B48" s="2" t="inlineStr">
        <is>
          <t>UC-06</t>
        </is>
      </c>
      <c r="C48" s="2" t="inlineStr">
        <is>
          <t>AC-06.5</t>
        </is>
      </c>
      <c r="D48" s="2" t="inlineStr">
        <is>
          <t>Biên</t>
        </is>
      </c>
      <c r="E48" s="2" t="inlineStr">
        <is>
          <t>P1</t>
        </is>
      </c>
      <c r="F48" s="2" t="inlineStr">
        <is>
          <t>–</t>
        </is>
      </c>
      <c r="G48" s="2" t="inlineStr">
        <is>
          <t>Làm hồ sơ theo S10 (giao 10, đạt 12).</t>
        </is>
      </c>
      <c r="H48" s="2" t="inlineStr">
        <is>
          <t>A = 100%, không vượt; điểm như S1.</t>
        </is>
      </c>
      <c r="I48" s="2" t="inlineStr">
        <is>
          <t>unit scoring</t>
        </is>
      </c>
      <c r="J48" s="2" t="inlineStr">
        <is>
          <t>2/2 điều kiện đạt</t>
        </is>
      </c>
      <c r="K48" s="2" t="inlineStr">
        <is>
          <t>Đ</t>
        </is>
      </c>
      <c r="L48" s="2" t="inlineStr"/>
      <c r="M48" s="2" t="inlineStr">
        <is>
          <t>Evidence: evidence/UC-06/TC-06-09.json</t>
        </is>
      </c>
      <c r="N48" s="2" t="inlineStr">
        <is>
          <t>Claude (chạy tự động)</t>
        </is>
      </c>
      <c r="O48" s="2" t="inlineStr">
        <is>
          <t>2026-10-18</t>
        </is>
      </c>
    </row>
    <row r="49">
      <c r="A49" s="2" t="inlineStr">
        <is>
          <t>TC-07-01</t>
        </is>
      </c>
      <c r="B49" s="2" t="inlineStr">
        <is>
          <t>UC-07</t>
        </is>
      </c>
      <c r="C49" s="2" t="inlineStr">
        <is>
          <t>AC-07.1</t>
        </is>
      </c>
      <c r="D49" s="2" t="inlineStr">
        <is>
          <t>Chính</t>
        </is>
      </c>
      <c r="E49" s="2" t="inlineStr">
        <is>
          <t>P1</t>
        </is>
      </c>
      <c r="F49" s="2" t="inlineStr">
        <is>
          <t>chuyenvien, truongphong</t>
        </is>
      </c>
      <c r="G49" s="2" t="inlineStr">
        <is>
          <t>1) chuyenvien đề xuất việc đột xuất. 2) truongphong mở "Cần xử lý" trên Tổng quan, duyệt.</t>
        </is>
      </c>
      <c r="H49" s="2" t="inlineStr">
        <is>
          <t>Trước duyệt không tính vào hồ sơ; sau duyệt xuất hiện trong danh sách việc của chuyenvien.</t>
        </is>
      </c>
      <c r="I49" s="2" t="inlineStr">
        <is>
          <t>app.e2e-spec.ts</t>
        </is>
      </c>
      <c r="J49" s="2" t="inlineStr">
        <is>
          <t>4/4 điều kiện đạt</t>
        </is>
      </c>
      <c r="K49" s="2" t="inlineStr">
        <is>
          <t>Đ</t>
        </is>
      </c>
      <c r="L49" s="2" t="inlineStr"/>
      <c r="M49" s="2" t="inlineStr">
        <is>
          <t>Evidence: evidence/UC-07/TC-07-01.json</t>
        </is>
      </c>
      <c r="N49" s="2" t="inlineStr">
        <is>
          <t>Claude (chạy tự động)</t>
        </is>
      </c>
      <c r="O49" s="2" t="inlineStr">
        <is>
          <t>2026-10-18</t>
        </is>
      </c>
    </row>
    <row r="50">
      <c r="A50" s="2" t="inlineStr">
        <is>
          <t>TC-07-02</t>
        </is>
      </c>
      <c r="B50" s="2" t="inlineStr">
        <is>
          <t>UC-07</t>
        </is>
      </c>
      <c r="C50" s="2" t="inlineStr">
        <is>
          <t>AC-07.1</t>
        </is>
      </c>
      <c r="D50" s="2" t="inlineStr">
        <is>
          <t>Chính</t>
        </is>
      </c>
      <c r="E50" s="2" t="inlineStr">
        <is>
          <t>P2</t>
        </is>
      </c>
      <c r="F50" s="2" t="inlineStr">
        <is>
          <t>truongphong</t>
        </is>
      </c>
      <c r="G50" s="2" t="inlineStr">
        <is>
          <t>Từ chối đề xuất, nêu lý do.</t>
        </is>
      </c>
      <c r="H50" s="2" t="inlineStr">
        <is>
          <t>Việc không tính; chuyenvien nhận thông báo kèm lý do.</t>
        </is>
      </c>
      <c r="I50" s="2" t="inlineStr">
        <is>
          <t>app.e2e-spec.ts</t>
        </is>
      </c>
      <c r="J50" s="2" t="inlineStr">
        <is>
          <t>3/3 điều kiện đạt</t>
        </is>
      </c>
      <c r="K50" s="2" t="inlineStr">
        <is>
          <t>Đ</t>
        </is>
      </c>
      <c r="L50" s="2" t="inlineStr"/>
      <c r="M50" s="2" t="inlineStr">
        <is>
          <t>Evidence: evidence/UC-07/TC-07-02.json</t>
        </is>
      </c>
      <c r="N50" s="2" t="inlineStr">
        <is>
          <t>Claude (chạy tự động)</t>
        </is>
      </c>
      <c r="O50" s="2" t="inlineStr">
        <is>
          <t>2026-10-18</t>
        </is>
      </c>
    </row>
    <row r="51">
      <c r="A51" s="2" t="inlineStr">
        <is>
          <t>TC-07-03</t>
        </is>
      </c>
      <c r="B51" s="2" t="inlineStr">
        <is>
          <t>UC-07</t>
        </is>
      </c>
      <c r="C51" s="2" t="inlineStr">
        <is>
          <t>AC-07.2</t>
        </is>
      </c>
      <c r="D51" s="2" t="inlineStr">
        <is>
          <t>Chính</t>
        </is>
      </c>
      <c r="E51" s="2" t="inlineStr">
        <is>
          <t>P2</t>
        </is>
      </c>
      <c r="F51" s="2" t="inlineStr">
        <is>
          <t>truongphong</t>
        </is>
      </c>
      <c r="G51" s="2" t="inlineStr">
        <is>
          <t>Tạo việc lặp hằng tuần trong 4 tuần.</t>
        </is>
      </c>
      <c r="H51" s="2" t="inlineStr">
        <is>
          <t>Sinh đúng số việc; chạy lại thao tác sinh không tạo trùng.</t>
        </is>
      </c>
      <c r="I51" s="2" t="inlineStr">
        <is>
          <t>app.e2e-spec.ts</t>
        </is>
      </c>
      <c r="J51" s="2" t="inlineStr">
        <is>
          <t>5/5 điều kiện đạt</t>
        </is>
      </c>
      <c r="K51" s="2" t="inlineStr">
        <is>
          <t>Đ</t>
        </is>
      </c>
      <c r="L51" s="2" t="inlineStr"/>
      <c r="M51" s="2" t="inlineStr">
        <is>
          <t>Evidence: evidence/UC-07/TC-07-03.json</t>
        </is>
      </c>
      <c r="N51" s="2" t="inlineStr">
        <is>
          <t>Claude (chạy tự động)</t>
        </is>
      </c>
      <c r="O51" s="2" t="inlineStr">
        <is>
          <t>2026-10-18</t>
        </is>
      </c>
    </row>
    <row r="52">
      <c r="A52" s="2" t="inlineStr">
        <is>
          <t>TC-07-04</t>
        </is>
      </c>
      <c r="B52" s="2" t="inlineStr">
        <is>
          <t>UC-07</t>
        </is>
      </c>
      <c r="C52" s="2" t="inlineStr">
        <is>
          <t>AC-07.3</t>
        </is>
      </c>
      <c r="D52" s="2" t="inlineStr">
        <is>
          <t>Chính</t>
        </is>
      </c>
      <c r="E52" s="2" t="inlineStr">
        <is>
          <t>P2</t>
        </is>
      </c>
      <c r="F52" s="2" t="inlineStr">
        <is>
          <t>–</t>
        </is>
      </c>
      <c r="G52" s="2" t="inlineStr">
        <is>
          <t>Năm có việc đột xuất chưa hoàn thành; xem điều kiện năm.</t>
        </is>
      </c>
      <c r="H52" s="2" t="inlineStr">
        <is>
          <t>Việc đột xuất không nằm trong tỷ lệ việc hoàn thành dùng cho điều kiện của năm.</t>
        </is>
      </c>
      <c r="I52" s="2" t="inlineStr">
        <is>
          <t>tests đơn vị cùng mô-đun</t>
        </is>
      </c>
      <c r="J52" s="2" t="inlineStr">
        <is>
          <t>2/2 điều kiện đạt</t>
        </is>
      </c>
      <c r="K52" s="2" t="inlineStr">
        <is>
          <t>Đ</t>
        </is>
      </c>
      <c r="L52" s="2" t="inlineStr"/>
      <c r="M52" s="2" t="inlineStr">
        <is>
          <t>Evidence: evidence/UC-07/TC-07-04.json</t>
        </is>
      </c>
      <c r="N52" s="2" t="inlineStr">
        <is>
          <t>Claude (chạy tự động)</t>
        </is>
      </c>
      <c r="O52" s="2" t="inlineStr">
        <is>
          <t>2026-10-18</t>
        </is>
      </c>
    </row>
    <row r="53">
      <c r="A53" s="2" t="inlineStr">
        <is>
          <t>TC-08-01</t>
        </is>
      </c>
      <c r="B53" s="2" t="inlineStr">
        <is>
          <t>UC-08</t>
        </is>
      </c>
      <c r="C53" s="2" t="inlineStr">
        <is>
          <t>AC-08.1</t>
        </is>
      </c>
      <c r="D53" s="2" t="inlineStr">
        <is>
          <t>Chính</t>
        </is>
      </c>
      <c r="E53" s="2" t="inlineStr">
        <is>
          <t>P1</t>
        </is>
      </c>
      <c r="F53" s="2" t="inlineStr">
        <is>
          <t>vanphong</t>
        </is>
      </c>
      <c r="G53" s="2" t="inlineStr">
        <is>
          <t>Tạo kỳ tháng, quý I, năm cho năm thử 2031. Thử tạo kỳ "quý IV".</t>
        </is>
      </c>
      <c r="H53" s="2" t="inlineStr">
        <is>
          <t>Tạo được tháng, quý I–III, năm; quý IV không có xếp loại riêng.</t>
        </is>
      </c>
      <c r="I53" s="2" t="inlineStr">
        <is>
          <t>app.e2e-spec.ts</t>
        </is>
      </c>
      <c r="J53" s="2" t="inlineStr">
        <is>
          <t>6/6 điều kiện đạt</t>
        </is>
      </c>
      <c r="K53" s="2" t="inlineStr">
        <is>
          <t>Đ</t>
        </is>
      </c>
      <c r="L53" s="2" t="inlineStr"/>
      <c r="M53" s="2" t="inlineStr">
        <is>
          <t>Evidence: evidence/UC-08/TC-08-01.json</t>
        </is>
      </c>
      <c r="N53" s="2" t="inlineStr">
        <is>
          <t>Claude (chạy tự động)</t>
        </is>
      </c>
      <c r="O53" s="2" t="inlineStr">
        <is>
          <t>2026-10-18</t>
        </is>
      </c>
    </row>
    <row r="54">
      <c r="A54" s="2" t="inlineStr">
        <is>
          <t>TC-08-02</t>
        </is>
      </c>
      <c r="B54" s="2" t="inlineStr">
        <is>
          <t>UC-08</t>
        </is>
      </c>
      <c r="C54" s="2" t="inlineStr">
        <is>
          <t>AC-08.2</t>
        </is>
      </c>
      <c r="D54" s="2" t="inlineStr">
        <is>
          <t>Chính</t>
        </is>
      </c>
      <c r="E54" s="2" t="inlineStr">
        <is>
          <t>P1</t>
        </is>
      </c>
      <c r="F54" s="2" t="inlineStr">
        <is>
          <t>vanphong</t>
        </is>
      </c>
      <c r="G54" s="2" t="inlineStr">
        <is>
          <t>Tạo hồ sơ kỳ tháng từ các việc đã giao.</t>
        </is>
      </c>
      <c r="H54" s="2" t="inlineStr">
        <is>
          <t>Hồ sơ có dòng chỉ tiêu theo mã công việc; số giao, số lần chậm, chưa đạt khớp với việc.</t>
        </is>
      </c>
      <c r="I54" s="2" t="inlineStr">
        <is>
          <t>app.e2e-spec.ts</t>
        </is>
      </c>
      <c r="J54" s="2" t="inlineStr">
        <is>
          <t>7/7 điều kiện đạt</t>
        </is>
      </c>
      <c r="K54" s="2" t="inlineStr">
        <is>
          <t>Đ</t>
        </is>
      </c>
      <c r="L54" s="2" t="inlineStr"/>
      <c r="M54" s="2" t="inlineStr">
        <is>
          <t>Evidence: evidence/UC-08/TC-08-02.json</t>
        </is>
      </c>
      <c r="N54" s="2" t="inlineStr">
        <is>
          <t>Claude (chạy tự động)</t>
        </is>
      </c>
      <c r="O54" s="2" t="inlineStr">
        <is>
          <t>2026-10-18</t>
        </is>
      </c>
    </row>
    <row r="55">
      <c r="A55" s="2" t="inlineStr">
        <is>
          <t>TC-08-03</t>
        </is>
      </c>
      <c r="B55" s="2" t="inlineStr">
        <is>
          <t>UC-08</t>
        </is>
      </c>
      <c r="C55" s="2" t="inlineStr">
        <is>
          <t>AC-08.3</t>
        </is>
      </c>
      <c r="D55" s="2" t="inlineStr">
        <is>
          <t>Âm</t>
        </is>
      </c>
      <c r="E55" s="2" t="inlineStr">
        <is>
          <t>P2</t>
        </is>
      </c>
      <c r="F55" s="2" t="inlineStr">
        <is>
          <t>vanphong</t>
        </is>
      </c>
      <c r="G55" s="2" t="inlineStr">
        <is>
          <t>Tạo hồ sơ lần hai cùng kỳ, cùng vị trí.</t>
        </is>
      </c>
      <c r="H55" s="2" t="inlineStr">
        <is>
          <t>Không tạo trùng.</t>
        </is>
      </c>
      <c r="I55" s="2" t="inlineStr">
        <is>
          <t>app.e2e-spec.ts</t>
        </is>
      </c>
      <c r="J55" s="2" t="inlineStr">
        <is>
          <t>2/2 điều kiện đạt</t>
        </is>
      </c>
      <c r="K55" s="2" t="inlineStr">
        <is>
          <t>Đ</t>
        </is>
      </c>
      <c r="L55" s="2" t="inlineStr"/>
      <c r="M55" s="2" t="inlineStr">
        <is>
          <t>Evidence: evidence/UC-08/TC-08-03.json</t>
        </is>
      </c>
      <c r="N55" s="2" t="inlineStr">
        <is>
          <t>Claude (chạy tự động)</t>
        </is>
      </c>
      <c r="O55" s="2" t="inlineStr">
        <is>
          <t>2026-10-18</t>
        </is>
      </c>
    </row>
    <row r="56">
      <c r="A56" s="2" t="inlineStr">
        <is>
          <t>TC-08-04</t>
        </is>
      </c>
      <c r="B56" s="2" t="inlineStr">
        <is>
          <t>UC-08</t>
        </is>
      </c>
      <c r="C56" s="2" t="inlineStr">
        <is>
          <t>AC-08.4</t>
        </is>
      </c>
      <c r="D56" s="2" t="inlineStr">
        <is>
          <t>Chính</t>
        </is>
      </c>
      <c r="E56" s="2" t="inlineStr">
        <is>
          <t>P1</t>
        </is>
      </c>
      <c r="F56" s="2" t="inlineStr">
        <is>
          <t>chuyenvien, truongphong, truongban</t>
        </is>
      </c>
      <c r="G56" s="2" t="inlineStr">
        <is>
          <t>Mở `/evaluations` lần lượt.</t>
        </is>
      </c>
      <c r="H56" s="2" t="inlineStr">
        <is>
          <t>chuyenvien chỉ thấy hồ sơ của mình; truongphong thấy cấp dưới; truongban thấy toàn Ban.</t>
        </is>
      </c>
      <c r="I56" s="2" t="inlineStr">
        <is>
          <t>app.e2e-spec.ts</t>
        </is>
      </c>
      <c r="J56" s="2" t="inlineStr">
        <is>
          <t>4/4 điều kiện đạt</t>
        </is>
      </c>
      <c r="K56" s="2" t="inlineStr">
        <is>
          <t>Đ</t>
        </is>
      </c>
      <c r="L56" s="2" t="inlineStr"/>
      <c r="M56" s="2" t="inlineStr">
        <is>
          <t>Evidence: evidence/UC-08/TC-08-04.json</t>
        </is>
      </c>
      <c r="N56" s="2" t="inlineStr">
        <is>
          <t>Claude (chạy tự động)</t>
        </is>
      </c>
      <c r="O56" s="2" t="inlineStr">
        <is>
          <t>2026-10-18</t>
        </is>
      </c>
    </row>
    <row r="57">
      <c r="A57" s="2" t="inlineStr">
        <is>
          <t>TC-09-01</t>
        </is>
      </c>
      <c r="B57" s="2" t="inlineStr">
        <is>
          <t>UC-09</t>
        </is>
      </c>
      <c r="C57" s="2" t="inlineStr">
        <is>
          <t>AC-09.1</t>
        </is>
      </c>
      <c r="D57" s="2" t="inlineStr">
        <is>
          <t>Chính</t>
        </is>
      </c>
      <c r="E57" s="2" t="inlineStr">
        <is>
          <t>P1</t>
        </is>
      </c>
      <c r="F57" s="2" t="inlineStr">
        <is>
          <t>chuyenvien</t>
        </is>
      </c>
      <c r="G57" s="2" t="inlineStr">
        <is>
          <t>Mở hồ sơ kỳ tháng của chuyên viên, xem bảng tiêu chí chung.</t>
        </is>
      </c>
      <c r="H57" s="2" t="inlineStr">
        <is>
          <t>Bảng Nghị định 335 Mẫu số 01: I (hai mục 5 điểm), II (bốn mục 2,5), III (bốn mục 2,5); tổng 30.</t>
        </is>
      </c>
      <c r="I57" s="2" t="inlineStr">
        <is>
          <t>general-criteria.spec.ts</t>
        </is>
      </c>
      <c r="J57" s="2" t="inlineStr">
        <is>
          <t>8/8 điều kiện đạt</t>
        </is>
      </c>
      <c r="K57" s="2" t="inlineStr">
        <is>
          <t>Đ</t>
        </is>
      </c>
      <c r="L57" s="2" t="inlineStr"/>
      <c r="M57" s="2" t="inlineStr">
        <is>
          <t>Evidence: evidence/UC-09/TC-09-01.json</t>
        </is>
      </c>
      <c r="N57" s="2" t="inlineStr">
        <is>
          <t>Claude (chạy tự động)</t>
        </is>
      </c>
      <c r="O57" s="2" t="inlineStr">
        <is>
          <t>2026-10-18</t>
        </is>
      </c>
    </row>
    <row r="58">
      <c r="A58" s="2" t="inlineStr">
        <is>
          <t>TC-09-02</t>
        </is>
      </c>
      <c r="B58" s="2" t="inlineStr">
        <is>
          <t>UC-09</t>
        </is>
      </c>
      <c r="C58" s="2" t="inlineStr">
        <is>
          <t>AC-09.1</t>
        </is>
      </c>
      <c r="D58" s="2" t="inlineStr">
        <is>
          <t>Chính</t>
        </is>
      </c>
      <c r="E58" s="2" t="inlineStr">
        <is>
          <t>P1</t>
        </is>
      </c>
      <c r="F58" s="2" t="inlineStr">
        <is>
          <t>truongphong</t>
        </is>
      </c>
      <c r="G58" s="2" t="inlineStr">
        <is>
          <t>Mở hồ sơ tháng của Trưởng phòng.</t>
        </is>
      </c>
      <c r="H58" s="2" t="inlineStr">
        <is>
          <t>Bảng 05-HD/TU Phụ lục 03: nhóm 1 gồm 9 mục × 2 = 18, nhóm 2 gồm 4 mục × 1 = 4, nhóm 3 gồm 4 mục × 2 = 8; tổng 30.</t>
        </is>
      </c>
      <c r="I58" s="2" t="inlineStr">
        <is>
          <t>general-criteria.spec.ts</t>
        </is>
      </c>
      <c r="J58" s="2" t="inlineStr">
        <is>
          <t>7/7 điều kiện đạt</t>
        </is>
      </c>
      <c r="K58" s="2" t="inlineStr">
        <is>
          <t>Đ</t>
        </is>
      </c>
      <c r="L58" s="2" t="inlineStr"/>
      <c r="M58" s="2" t="inlineStr">
        <is>
          <t>Evidence: evidence/UC-09/TC-09-02.json</t>
        </is>
      </c>
      <c r="N58" s="2" t="inlineStr">
        <is>
          <t>Claude (chạy tự động)</t>
        </is>
      </c>
      <c r="O58" s="2" t="inlineStr">
        <is>
          <t>2026-10-18</t>
        </is>
      </c>
    </row>
    <row r="59">
      <c r="A59" s="2" t="inlineStr">
        <is>
          <t>TC-09-03</t>
        </is>
      </c>
      <c r="B59" s="2" t="inlineStr">
        <is>
          <t>UC-09</t>
        </is>
      </c>
      <c r="C59" s="2" t="inlineStr">
        <is>
          <t>AC-09.2</t>
        </is>
      </c>
      <c r="D59" s="2" t="inlineStr">
        <is>
          <t>Âm</t>
        </is>
      </c>
      <c r="E59" s="2" t="inlineStr">
        <is>
          <t>P1</t>
        </is>
      </c>
      <c r="F59" s="2" t="inlineStr">
        <is>
          <t>chuyenvien</t>
        </is>
      </c>
      <c r="G59" s="2" t="inlineStr">
        <is>
          <t>Chọn "Không đảm bảo" cho một mục, để trống căn cứ, nhấn gửi.</t>
        </is>
      </c>
      <c r="H59" s="2" t="inlineStr">
        <is>
          <t>Không gửi được; thông báo yêu cầu căn cứ.</t>
        </is>
      </c>
      <c r="I59" s="2" t="inlineStr">
        <is>
          <t>tests đơn vị cùng mô-đun</t>
        </is>
      </c>
      <c r="J59" s="2" t="inlineStr">
        <is>
          <t>3/3 điều kiện đạt</t>
        </is>
      </c>
      <c r="K59" s="2" t="inlineStr">
        <is>
          <t>Đ</t>
        </is>
      </c>
      <c r="L59" s="2" t="inlineStr"/>
      <c r="M59" s="2" t="inlineStr">
        <is>
          <t>Evidence: evidence/UC-09/TC-09-03.json</t>
        </is>
      </c>
      <c r="N59" s="2" t="inlineStr">
        <is>
          <t>Claude (chạy tự động)</t>
        </is>
      </c>
      <c r="O59" s="2" t="inlineStr">
        <is>
          <t>2026-10-18</t>
        </is>
      </c>
    </row>
    <row r="60">
      <c r="A60" s="2" t="inlineStr">
        <is>
          <t>TC-09-04</t>
        </is>
      </c>
      <c r="B60" s="2" t="inlineStr">
        <is>
          <t>UC-09</t>
        </is>
      </c>
      <c r="C60" s="2" t="inlineStr">
        <is>
          <t>AC-09.3</t>
        </is>
      </c>
      <c r="D60" s="2" t="inlineStr">
        <is>
          <t>Chính</t>
        </is>
      </c>
      <c r="E60" s="2" t="inlineStr">
        <is>
          <t>P1</t>
        </is>
      </c>
      <c r="F60" s="2" t="inlineStr">
        <is>
          <t>chuyenvien</t>
        </is>
      </c>
      <c r="G60" s="2" t="inlineStr">
        <is>
          <t>Chọn Đảm bảo cho I.1, I.2 và hai mục 2,5; còn lại Không đảm bảo kèm căn cứ.</t>
        </is>
      </c>
      <c r="H60" s="2" t="inlineStr">
        <is>
          <t>Điểm tiêu chí chung hiển thị 10 + 5 = 15,0 và cập nhật ngay khi đổi từng mục.</t>
        </is>
      </c>
      <c r="I60" s="2" t="inlineStr">
        <is>
          <t>tests đơn vị cùng mô-đun</t>
        </is>
      </c>
      <c r="J60" s="2" t="inlineStr">
        <is>
          <t>2/2 điều kiện đạt</t>
        </is>
      </c>
      <c r="K60" s="2" t="inlineStr">
        <is>
          <t>Đ</t>
        </is>
      </c>
      <c r="L60" s="2" t="inlineStr"/>
      <c r="M60" s="2" t="inlineStr">
        <is>
          <t>Evidence: evidence/UC-09/TC-09-04.json</t>
        </is>
      </c>
      <c r="N60" s="2" t="inlineStr">
        <is>
          <t>Claude (chạy tự động)</t>
        </is>
      </c>
      <c r="O60" s="2" t="inlineStr">
        <is>
          <t>2026-10-18</t>
        </is>
      </c>
    </row>
    <row r="61">
      <c r="A61" s="2" t="inlineStr">
        <is>
          <t>TC-09-05</t>
        </is>
      </c>
      <c r="B61" s="2" t="inlineStr">
        <is>
          <t>UC-09</t>
        </is>
      </c>
      <c r="C61" s="2" t="inlineStr">
        <is>
          <t>AC-09.2</t>
        </is>
      </c>
      <c r="D61" s="2" t="inlineStr">
        <is>
          <t>Chính</t>
        </is>
      </c>
      <c r="E61" s="2" t="inlineStr">
        <is>
          <t>P1</t>
        </is>
      </c>
      <c r="F61" s="2" t="inlineStr">
        <is>
          <t>chuyenvien</t>
        </is>
      </c>
      <c r="G61" s="2" t="inlineStr">
        <is>
          <t>Gửi tự chấm hợp lệ.</t>
        </is>
      </c>
      <c r="H61" s="2" t="inlineStr">
        <is>
          <t>Hồ sơ sang "Đã tự chấm"; sửa tự chấm không còn được; truongphong thấy trong "Cần xử lý".</t>
        </is>
      </c>
      <c r="I61" s="2" t="inlineStr">
        <is>
          <t>app.e2e-spec.ts</t>
        </is>
      </c>
      <c r="J61" s="2" t="inlineStr">
        <is>
          <t>4/4 điều kiện đạt</t>
        </is>
      </c>
      <c r="K61" s="2" t="inlineStr">
        <is>
          <t>Đ</t>
        </is>
      </c>
      <c r="L61" s="2" t="inlineStr"/>
      <c r="M61" s="2" t="inlineStr">
        <is>
          <t>Evidence: evidence/UC-09/TC-09-05.json</t>
        </is>
      </c>
      <c r="N61" s="2" t="inlineStr">
        <is>
          <t>Claude (chạy tự động)</t>
        </is>
      </c>
      <c r="O61" s="2" t="inlineStr">
        <is>
          <t>2026-10-18</t>
        </is>
      </c>
    </row>
    <row r="62">
      <c r="A62" s="2" t="inlineStr">
        <is>
          <t>TC-09-06</t>
        </is>
      </c>
      <c r="B62" s="2" t="inlineStr">
        <is>
          <t>UC-09</t>
        </is>
      </c>
      <c r="C62" s="2" t="inlineStr">
        <is>
          <t>AC-09.4</t>
        </is>
      </c>
      <c r="D62" s="2" t="inlineStr">
        <is>
          <t>Chính</t>
        </is>
      </c>
      <c r="E62" s="2" t="inlineStr">
        <is>
          <t>P2</t>
        </is>
      </c>
      <c r="F62" s="2" t="inlineStr">
        <is>
          <t>vanphong</t>
        </is>
      </c>
      <c r="G62" s="2" t="inlineStr">
        <is>
          <t>Thêm phiên bản bảng áp dụng từ tháng sau. Thử chọn tháng đã có người tự chấm.</t>
        </is>
      </c>
      <c r="H62" s="2" t="inlineStr">
        <is>
          <t>Phiên bản tháng sau thêm được; tháng đã có người tự chấm bị từ chối.</t>
        </is>
      </c>
      <c r="I62" s="2" t="inlineStr">
        <is>
          <t>tests đơn vị cùng mô-đun</t>
        </is>
      </c>
      <c r="J62" s="2" t="inlineStr">
        <is>
          <t>4/4 điều kiện đạt</t>
        </is>
      </c>
      <c r="K62" s="2" t="inlineStr">
        <is>
          <t>Đ</t>
        </is>
      </c>
      <c r="L62" s="2" t="inlineStr"/>
      <c r="M62" s="2" t="inlineStr">
        <is>
          <t>Evidence: evidence/UC-09/TC-09-06.json</t>
        </is>
      </c>
      <c r="N62" s="2" t="inlineStr">
        <is>
          <t>Claude (chạy tự động)</t>
        </is>
      </c>
      <c r="O62" s="2" t="inlineStr">
        <is>
          <t>2026-10-18</t>
        </is>
      </c>
    </row>
    <row r="63">
      <c r="A63" s="2" t="inlineStr">
        <is>
          <t>TC-09-07</t>
        </is>
      </c>
      <c r="B63" s="2" t="inlineStr">
        <is>
          <t>UC-09</t>
        </is>
      </c>
      <c r="C63" s="2" t="inlineStr">
        <is>
          <t>AC-09.4</t>
        </is>
      </c>
      <c r="D63" s="2" t="inlineStr">
        <is>
          <t>Chính</t>
        </is>
      </c>
      <c r="E63" s="2" t="inlineStr">
        <is>
          <t>P3</t>
        </is>
      </c>
      <c r="F63" s="2" t="inlineStr">
        <is>
          <t>vanphong</t>
        </is>
      </c>
      <c r="G63" s="2" t="inlineStr">
        <is>
          <t>Xóa phiên bản chưa ai chấm theo.</t>
        </is>
      </c>
      <c r="H63" s="2" t="inlineStr">
        <is>
          <t>Xóa được; các kỳ của nó về phiên bản trước.</t>
        </is>
      </c>
      <c r="I63" s="2" t="inlineStr">
        <is>
          <t>tests đơn vị cùng mô-đun</t>
        </is>
      </c>
      <c r="J63" s="2" t="inlineStr">
        <is>
          <t>2/2 điều kiện đạt</t>
        </is>
      </c>
      <c r="K63" s="2" t="inlineStr">
        <is>
          <t>Đ</t>
        </is>
      </c>
      <c r="L63" s="2" t="inlineStr"/>
      <c r="M63" s="2" t="inlineStr">
        <is>
          <t>Evidence: evidence/UC-09/TC-09-07.json</t>
        </is>
      </c>
      <c r="N63" s="2" t="inlineStr">
        <is>
          <t>Claude (chạy tự động)</t>
        </is>
      </c>
      <c r="O63" s="2" t="inlineStr">
        <is>
          <t>2026-10-18</t>
        </is>
      </c>
    </row>
    <row r="64">
      <c r="A64" s="2" t="inlineStr">
        <is>
          <t>TC-09-08</t>
        </is>
      </c>
      <c r="B64" s="2" t="inlineStr">
        <is>
          <t>UC-09</t>
        </is>
      </c>
      <c r="C64" s="2" t="inlineStr">
        <is>
          <t>AC-09.5</t>
        </is>
      </c>
      <c r="D64" s="2" t="inlineStr">
        <is>
          <t>Biên</t>
        </is>
      </c>
      <c r="E64" s="2" t="inlineStr">
        <is>
          <t>P3</t>
        </is>
      </c>
      <c r="F64" s="2" t="inlineStr">
        <is>
          <t>chuyenvien</t>
        </is>
      </c>
      <c r="G64" s="2" t="inlineStr">
        <is>
          <t>Mở hồ sơ kỳ trước phiên bản đầu tiên.</t>
        </is>
      </c>
      <c r="H64" s="2" t="inlineStr">
        <is>
          <t>Chỉ có ô số 0–30, không bảng mục.</t>
        </is>
      </c>
      <c r="I64" s="2" t="inlineStr">
        <is>
          <t>tests đơn vị cùng mô-đun</t>
        </is>
      </c>
      <c r="J64" s="2" t="inlineStr">
        <is>
          <t>3/3 điều kiện đạt</t>
        </is>
      </c>
      <c r="K64" s="2" t="inlineStr">
        <is>
          <t>Đ</t>
        </is>
      </c>
      <c r="L64" s="2" t="inlineStr"/>
      <c r="M64" s="2" t="inlineStr">
        <is>
          <t>Evidence: evidence/UC-09/TC-09-08.json</t>
        </is>
      </c>
      <c r="N64" s="2" t="inlineStr">
        <is>
          <t>Claude (chạy tự động)</t>
        </is>
      </c>
      <c r="O64" s="2" t="inlineStr">
        <is>
          <t>2026-10-18</t>
        </is>
      </c>
    </row>
    <row r="65">
      <c r="A65" s="2" t="inlineStr">
        <is>
          <t>TC-10-01</t>
        </is>
      </c>
      <c r="B65" s="2" t="inlineStr">
        <is>
          <t>UC-10</t>
        </is>
      </c>
      <c r="C65" s="2" t="inlineStr">
        <is>
          <t>AC-10.1 đến AC-10.4</t>
        </is>
      </c>
      <c r="D65" s="2" t="inlineStr">
        <is>
          <t>Chính</t>
        </is>
      </c>
      <c r="E65" s="2" t="inlineStr">
        <is>
          <t>P1</t>
        </is>
      </c>
      <c r="F65" s="2" t="inlineStr">
        <is>
          <t>chuyenvien, truongphong</t>
        </is>
      </c>
      <c r="G65" s="2" t="inlineStr">
        <is>
          <t>Dựng S1; truongphong thẩm định, chấm tiêu chí chung 30.</t>
        </is>
      </c>
      <c r="H65" s="2" t="inlineStr">
        <is>
          <t>A = B = C = 100%; KPI 100%; kết quả 70,00; tổng 100,00; Xuất sắc.</t>
        </is>
      </c>
      <c r="I65" s="2" t="inlineStr">
        <is>
          <t>scoring-policy.spec.ts</t>
        </is>
      </c>
      <c r="J65" s="2" t="inlineStr">
        <is>
          <t>7/7 điều kiện đạt</t>
        </is>
      </c>
      <c r="K65" s="2" t="inlineStr">
        <is>
          <t>Đ</t>
        </is>
      </c>
      <c r="L65" s="2" t="inlineStr"/>
      <c r="M65" s="2" t="inlineStr">
        <is>
          <t>Evidence: evidence/UC-10/TC-10-01.json</t>
        </is>
      </c>
      <c r="N65" s="2" t="inlineStr">
        <is>
          <t>Claude (chạy tự động)</t>
        </is>
      </c>
      <c r="O65" s="2" t="inlineStr">
        <is>
          <t>2026-10-18</t>
        </is>
      </c>
    </row>
    <row r="66">
      <c r="A66" s="2" t="inlineStr">
        <is>
          <t>TC-10-02</t>
        </is>
      </c>
      <c r="B66" s="2" t="inlineStr">
        <is>
          <t>UC-10</t>
        </is>
      </c>
      <c r="C66" s="2" t="inlineStr">
        <is>
          <t>AC-10.1</t>
        </is>
      </c>
      <c r="D66" s="2" t="inlineStr">
        <is>
          <t>Chính</t>
        </is>
      </c>
      <c r="E66" s="2" t="inlineStr">
        <is>
          <t>P1</t>
        </is>
      </c>
      <c r="F66" s="2" t="inlineStr">
        <is>
          <t>như trên</t>
        </is>
      </c>
      <c r="G66" s="2" t="inlineStr">
        <is>
          <t>Dựng S2.</t>
        </is>
      </c>
      <c r="H66" s="2" t="inlineStr">
        <is>
          <t>B = C = 75%; KPI 83,33%; kết quả 58,33; tổng 88,33; Hoàn thành tốt.</t>
        </is>
      </c>
      <c r="I66" s="2" t="inlineStr">
        <is>
          <t>tests đơn vị cùng mô-đun</t>
        </is>
      </c>
      <c r="J66" s="2" t="inlineStr">
        <is>
          <t>4/4 điều kiện đạt</t>
        </is>
      </c>
      <c r="K66" s="2" t="inlineStr">
        <is>
          <t>Đ</t>
        </is>
      </c>
      <c r="L66" s="2" t="inlineStr"/>
      <c r="M66" s="2" t="inlineStr">
        <is>
          <t>Evidence: evidence/UC-10/TC-10-02.json</t>
        </is>
      </c>
      <c r="N66" s="2" t="inlineStr">
        <is>
          <t>Claude (chạy tự động)</t>
        </is>
      </c>
      <c r="O66" s="2" t="inlineStr">
        <is>
          <t>2026-10-18</t>
        </is>
      </c>
    </row>
    <row r="67">
      <c r="A67" s="2" t="inlineStr">
        <is>
          <t>TC-10-03</t>
        </is>
      </c>
      <c r="B67" s="2" t="inlineStr">
        <is>
          <t>UC-10</t>
        </is>
      </c>
      <c r="C67" s="2" t="inlineStr">
        <is>
          <t>AC-10.1</t>
        </is>
      </c>
      <c r="D67" s="2" t="inlineStr">
        <is>
          <t>Chính</t>
        </is>
      </c>
      <c r="E67" s="2" t="inlineStr">
        <is>
          <t>P1</t>
        </is>
      </c>
      <c r="F67" s="2" t="inlineStr">
        <is>
          <t>như trên</t>
        </is>
      </c>
      <c r="G67" s="2" t="inlineStr">
        <is>
          <t>Dựng S3.</t>
        </is>
      </c>
      <c r="H67" s="2" t="inlineStr">
        <is>
          <t>A = B = C = 50%; kết quả 35,00; tổng 65,00; Hoàn thành.</t>
        </is>
      </c>
      <c r="I67" s="2" t="inlineStr">
        <is>
          <t>tests đơn vị cùng mô-đun</t>
        </is>
      </c>
      <c r="J67" s="2" t="inlineStr">
        <is>
          <t>4/4 điều kiện đạt</t>
        </is>
      </c>
      <c r="K67" s="2" t="inlineStr">
        <is>
          <t>Đ</t>
        </is>
      </c>
      <c r="L67" s="2" t="inlineStr"/>
      <c r="M67" s="2" t="inlineStr">
        <is>
          <t>Evidence: evidence/UC-10/TC-10-03.json</t>
        </is>
      </c>
      <c r="N67" s="2" t="inlineStr">
        <is>
          <t>Claude (chạy tự động)</t>
        </is>
      </c>
      <c r="O67" s="2" t="inlineStr">
        <is>
          <t>2026-10-18</t>
        </is>
      </c>
    </row>
    <row r="68">
      <c r="A68" s="2" t="inlineStr">
        <is>
          <t>TC-10-04</t>
        </is>
      </c>
      <c r="B68" s="2" t="inlineStr">
        <is>
          <t>UC-10</t>
        </is>
      </c>
      <c r="C68" s="2" t="inlineStr">
        <is>
          <t>AC-10.4</t>
        </is>
      </c>
      <c r="D68" s="2" t="inlineStr">
        <is>
          <t>Chính</t>
        </is>
      </c>
      <c r="E68" s="2" t="inlineStr">
        <is>
          <t>P1</t>
        </is>
      </c>
      <c r="F68" s="2" t="inlineStr">
        <is>
          <t>như trên</t>
        </is>
      </c>
      <c r="G68" s="2" t="inlineStr">
        <is>
          <t>Dựng S4.</t>
        </is>
      </c>
      <c r="H68" s="2" t="inlineStr">
        <is>
          <t>Tổng 30,00; Không hoàn thành.</t>
        </is>
      </c>
      <c r="I68" s="2" t="inlineStr">
        <is>
          <t>tests đơn vị cùng mô-đun</t>
        </is>
      </c>
      <c r="J68" s="2" t="inlineStr">
        <is>
          <t>3/3 điều kiện đạt</t>
        </is>
      </c>
      <c r="K68" s="2" t="inlineStr">
        <is>
          <t>Đ</t>
        </is>
      </c>
      <c r="L68" s="2" t="inlineStr"/>
      <c r="M68" s="2" t="inlineStr">
        <is>
          <t>Evidence: evidence/UC-10/TC-10-04.json</t>
        </is>
      </c>
      <c r="N68" s="2" t="inlineStr">
        <is>
          <t>Claude (chạy tự động)</t>
        </is>
      </c>
      <c r="O68" s="2" t="inlineStr">
        <is>
          <t>2026-10-18</t>
        </is>
      </c>
    </row>
    <row r="69">
      <c r="A69" s="2" t="inlineStr">
        <is>
          <t>TC-10-05</t>
        </is>
      </c>
      <c r="B69" s="2" t="inlineStr">
        <is>
          <t>UC-10</t>
        </is>
      </c>
      <c r="C69" s="2" t="inlineStr">
        <is>
          <t>AC-10.4</t>
        </is>
      </c>
      <c r="D69" s="2" t="inlineStr">
        <is>
          <t>Biên</t>
        </is>
      </c>
      <c r="E69" s="2" t="inlineStr">
        <is>
          <t>P1</t>
        </is>
      </c>
      <c r="F69" s="2" t="inlineStr">
        <is>
          <t>như trên</t>
        </is>
      </c>
      <c r="G69" s="2" t="inlineStr">
        <is>
          <t>Dựng S5 (tiêu chí chung 20).</t>
        </is>
      </c>
      <c r="H69" s="2" t="inlineStr">
        <is>
          <t>Tổng đúng 90,00 → Xuất sắc.</t>
        </is>
      </c>
      <c r="I69" s="2" t="inlineStr">
        <is>
          <t>classification.spec.ts</t>
        </is>
      </c>
      <c r="J69" s="2" t="inlineStr">
        <is>
          <t>3/3 điều kiện đạt</t>
        </is>
      </c>
      <c r="K69" s="2" t="inlineStr">
        <is>
          <t>Đ</t>
        </is>
      </c>
      <c r="L69" s="2" t="inlineStr"/>
      <c r="M69" s="2" t="inlineStr">
        <is>
          <t>Evidence: evidence/UC-10/TC-10-05.json</t>
        </is>
      </c>
      <c r="N69" s="2" t="inlineStr">
        <is>
          <t>Claude (chạy tự động)</t>
        </is>
      </c>
      <c r="O69" s="2" t="inlineStr">
        <is>
          <t>2026-10-18</t>
        </is>
      </c>
    </row>
    <row r="70">
      <c r="A70" s="2" t="inlineStr">
        <is>
          <t>TC-10-06</t>
        </is>
      </c>
      <c r="B70" s="2" t="inlineStr">
        <is>
          <t>UC-10</t>
        </is>
      </c>
      <c r="C70" s="2" t="inlineStr">
        <is>
          <t>AC-10.4</t>
        </is>
      </c>
      <c r="D70" s="2" t="inlineStr">
        <is>
          <t>Biên</t>
        </is>
      </c>
      <c r="E70" s="2" t="inlineStr">
        <is>
          <t>P1</t>
        </is>
      </c>
      <c r="F70" s="2" t="inlineStr">
        <is>
          <t>như trên</t>
        </is>
      </c>
      <c r="G70" s="2" t="inlineStr">
        <is>
          <t>Dựng S6 (tiêu chí chung 17,5).</t>
        </is>
      </c>
      <c r="H70" s="2" t="inlineStr">
        <is>
          <t>Tổng 87,50 → Hoàn thành tốt.</t>
        </is>
      </c>
      <c r="I70" s="2" t="inlineStr">
        <is>
          <t>classification.spec.ts</t>
        </is>
      </c>
      <c r="J70" s="2" t="inlineStr">
        <is>
          <t>3/3 điều kiện đạt</t>
        </is>
      </c>
      <c r="K70" s="2" t="inlineStr">
        <is>
          <t>Đ</t>
        </is>
      </c>
      <c r="L70" s="2" t="inlineStr"/>
      <c r="M70" s="2" t="inlineStr">
        <is>
          <t>Evidence: evidence/UC-10/TC-10-06.json</t>
        </is>
      </c>
      <c r="N70" s="2" t="inlineStr">
        <is>
          <t>Claude (chạy tự động)</t>
        </is>
      </c>
      <c r="O70" s="2" t="inlineStr">
        <is>
          <t>2026-10-18</t>
        </is>
      </c>
    </row>
    <row r="71">
      <c r="A71" s="2" t="inlineStr">
        <is>
          <t>TC-10-07</t>
        </is>
      </c>
      <c r="B71" s="2" t="inlineStr">
        <is>
          <t>UC-10</t>
        </is>
      </c>
      <c r="C71" s="2" t="inlineStr">
        <is>
          <t>AC-10.4</t>
        </is>
      </c>
      <c r="D71" s="2" t="inlineStr">
        <is>
          <t>Biên</t>
        </is>
      </c>
      <c r="E71" s="2" t="inlineStr">
        <is>
          <t>P1</t>
        </is>
      </c>
      <c r="F71" s="2" t="inlineStr">
        <is>
          <t>như trên</t>
        </is>
      </c>
      <c r="G71" s="2" t="inlineStr">
        <is>
          <t>Dựng S7 (tiêu chí chung 0).</t>
        </is>
      </c>
      <c r="H71" s="2" t="inlineStr">
        <is>
          <t>Tổng đúng 70,00 → Hoàn thành tốt.</t>
        </is>
      </c>
      <c r="I71" s="2" t="inlineStr">
        <is>
          <t>classification.spec.ts</t>
        </is>
      </c>
      <c r="J71" s="2" t="inlineStr">
        <is>
          <t>3/3 điều kiện đạt</t>
        </is>
      </c>
      <c r="K71" s="2" t="inlineStr">
        <is>
          <t>Đ</t>
        </is>
      </c>
      <c r="L71" s="2" t="inlineStr"/>
      <c r="M71" s="2" t="inlineStr">
        <is>
          <t>Evidence: evidence/UC-10/TC-10-07.json</t>
        </is>
      </c>
      <c r="N71" s="2" t="inlineStr">
        <is>
          <t>Claude (chạy tự động)</t>
        </is>
      </c>
      <c r="O71" s="2" t="inlineStr">
        <is>
          <t>2026-10-18</t>
        </is>
      </c>
    </row>
    <row r="72">
      <c r="A72" s="2" t="inlineStr">
        <is>
          <t>TC-10-08</t>
        </is>
      </c>
      <c r="B72" s="2" t="inlineStr">
        <is>
          <t>UC-10</t>
        </is>
      </c>
      <c r="C72" s="2" t="inlineStr">
        <is>
          <t>AC-10.4</t>
        </is>
      </c>
      <c r="D72" s="2" t="inlineStr">
        <is>
          <t>Biên</t>
        </is>
      </c>
      <c r="E72" s="2" t="inlineStr">
        <is>
          <t>P1</t>
        </is>
      </c>
      <c r="F72" s="2" t="inlineStr">
        <is>
          <t>như trên</t>
        </is>
      </c>
      <c r="G72" s="2" t="inlineStr">
        <is>
          <t>Dựng S8 và S9.</t>
        </is>
      </c>
      <c r="H72" s="2" t="inlineStr">
        <is>
          <t>S8: 50,00 → Hoàn thành; S9: 47,50 → Không hoàn thành.</t>
        </is>
      </c>
      <c r="I72" s="2" t="inlineStr">
        <is>
          <t>classification.spec.ts</t>
        </is>
      </c>
      <c r="J72" s="2" t="inlineStr">
        <is>
          <t>4/4 điều kiện đạt</t>
        </is>
      </c>
      <c r="K72" s="2" t="inlineStr">
        <is>
          <t>Đ</t>
        </is>
      </c>
      <c r="L72" s="2" t="inlineStr"/>
      <c r="M72" s="2" t="inlineStr">
        <is>
          <t>Evidence: evidence/UC-10/TC-10-08.json</t>
        </is>
      </c>
      <c r="N72" s="2" t="inlineStr">
        <is>
          <t>Claude (chạy tự động)</t>
        </is>
      </c>
      <c r="O72" s="2" t="inlineStr">
        <is>
          <t>2026-10-18</t>
        </is>
      </c>
    </row>
    <row r="73">
      <c r="A73" s="2" t="inlineStr">
        <is>
          <t>TC-10-09</t>
        </is>
      </c>
      <c r="B73" s="2" t="inlineStr">
        <is>
          <t>UC-10</t>
        </is>
      </c>
      <c r="C73" s="2" t="inlineStr">
        <is>
          <t>AC-10.1</t>
        </is>
      </c>
      <c r="D73" s="2" t="inlineStr">
        <is>
          <t>Biên</t>
        </is>
      </c>
      <c r="E73" s="2" t="inlineStr">
        <is>
          <t>P2</t>
        </is>
      </c>
      <c r="F73" s="2" t="inlineStr">
        <is>
          <t>như trên</t>
        </is>
      </c>
      <c r="G73" s="2" t="inlineStr">
        <is>
          <t>Dựng S11 (R = 5).</t>
        </is>
      </c>
      <c r="H73" s="2" t="inlineStr">
        <is>
          <t>B = 0, không âm; tổng 76,67.</t>
        </is>
      </c>
      <c r="I73" s="2" t="inlineStr">
        <is>
          <t>tests đơn vị cùng mô-đun</t>
        </is>
      </c>
      <c r="J73" s="2" t="inlineStr">
        <is>
          <t>3/3 điều kiện đạt</t>
        </is>
      </c>
      <c r="K73" s="2" t="inlineStr">
        <is>
          <t>Đ</t>
        </is>
      </c>
      <c r="L73" s="2" t="inlineStr"/>
      <c r="M73" s="2" t="inlineStr">
        <is>
          <t>Evidence: evidence/UC-10/TC-10-09.json</t>
        </is>
      </c>
      <c r="N73" s="2" t="inlineStr">
        <is>
          <t>Claude (chạy tự động)</t>
        </is>
      </c>
      <c r="O73" s="2" t="inlineStr">
        <is>
          <t>2026-10-18</t>
        </is>
      </c>
    </row>
    <row r="74">
      <c r="A74" s="2" t="inlineStr">
        <is>
          <t>TC-10-10</t>
        </is>
      </c>
      <c r="B74" s="2" t="inlineStr">
        <is>
          <t>UC-10</t>
        </is>
      </c>
      <c r="C74" s="2" t="inlineStr">
        <is>
          <t>AC-10.2, AC-10.3</t>
        </is>
      </c>
      <c r="D74" s="2" t="inlineStr">
        <is>
          <t>Chính</t>
        </is>
      </c>
      <c r="E74" s="2" t="inlineStr">
        <is>
          <t>P1</t>
        </is>
      </c>
      <c r="F74" s="2" t="inlineStr">
        <is>
          <t>phoban, truongphong</t>
        </is>
      </c>
      <c r="G74" s="2" t="inlineStr">
        <is>
          <t>Dựng L1 cho Trưởng phòng; phoban thẩm định, chọn ba tiêu chí lãnh đạo 100%, 100%, 50%.</t>
        </is>
      </c>
      <c r="H74" s="2" t="inlineStr">
        <is>
          <t>KPI 91,67% (chia 6); kết quả 64,17; tổng 94,17; Xuất sắc.</t>
        </is>
      </c>
      <c r="I74" s="2" t="inlineStr">
        <is>
          <t>scoring-policy.spec.ts</t>
        </is>
      </c>
      <c r="J74" s="2" t="inlineStr">
        <is>
          <t>6/6 điều kiện đạt</t>
        </is>
      </c>
      <c r="K74" s="2" t="inlineStr">
        <is>
          <t>Đ</t>
        </is>
      </c>
      <c r="L74" s="2" t="inlineStr"/>
      <c r="M74" s="2" t="inlineStr">
        <is>
          <t>Evidence: evidence/UC-10/TC-10-10.json</t>
        </is>
      </c>
      <c r="N74" s="2" t="inlineStr">
        <is>
          <t>Claude (chạy tự động)</t>
        </is>
      </c>
      <c r="O74" s="2" t="inlineStr">
        <is>
          <t>2026-10-18</t>
        </is>
      </c>
    </row>
    <row r="75">
      <c r="A75" s="2" t="inlineStr">
        <is>
          <t>TC-10-11</t>
        </is>
      </c>
      <c r="B75" s="2" t="inlineStr">
        <is>
          <t>UC-10</t>
        </is>
      </c>
      <c r="C75" s="2" t="inlineStr">
        <is>
          <t>AC-10.5</t>
        </is>
      </c>
      <c r="D75" s="2" t="inlineStr">
        <is>
          <t>Biên</t>
        </is>
      </c>
      <c r="E75" s="2" t="inlineStr">
        <is>
          <t>P1</t>
        </is>
      </c>
      <c r="F75" s="2" t="inlineStr">
        <is>
          <t>như trên</t>
        </is>
      </c>
      <c r="G75" s="2" t="inlineStr">
        <is>
          <t>Hồ sơ không có dòng chỉ tiêu nào; thẩm định lãnh đạo với ba tiêu chí 100%.</t>
        </is>
      </c>
      <c r="H75" s="2" t="inlineStr">
        <is>
          <t>Mọi thành phần và điểm kết quả bằng 0 (kể cả ba tiêu chí lãnh đạo).</t>
        </is>
      </c>
      <c r="I75" s="2" t="inlineStr">
        <is>
          <t>tests đơn vị cùng mô-đun</t>
        </is>
      </c>
      <c r="J75" s="2" t="inlineStr">
        <is>
          <t>3/3 điều kiện đạt</t>
        </is>
      </c>
      <c r="K75" s="2" t="inlineStr">
        <is>
          <t>Đ</t>
        </is>
      </c>
      <c r="L75" s="2" t="inlineStr"/>
      <c r="M75" s="2" t="inlineStr">
        <is>
          <t>Evidence: evidence/UC-10/TC-10-11.json | Lệch mô tả TC-10-11: hệ thống chặn ngay từ bước tự chấm nên không đến được bước thẩm định lãnh đạo; quy tắc "mẫu số 0 → mọi thành phần 0" chỉ kiểm được bằng test máy scoring-policy.spec.ts.</t>
        </is>
      </c>
      <c r="N75" s="2" t="inlineStr">
        <is>
          <t>Claude (chạy tự động)</t>
        </is>
      </c>
      <c r="O75" s="2" t="inlineStr">
        <is>
          <t>2026-10-18</t>
        </is>
      </c>
    </row>
    <row r="76">
      <c r="A76" s="2" t="inlineStr">
        <is>
          <t>TC-10-12</t>
        </is>
      </c>
      <c r="B76" s="2" t="inlineStr">
        <is>
          <t>UC-10</t>
        </is>
      </c>
      <c r="C76" s="2" t="inlineStr">
        <is>
          <t>AC-10.6</t>
        </is>
      </c>
      <c r="D76" s="2" t="inlineStr">
        <is>
          <t>Chính</t>
        </is>
      </c>
      <c r="E76" s="2" t="inlineStr">
        <is>
          <t>P1</t>
        </is>
      </c>
      <c r="F76" s="2" t="inlineStr">
        <is>
          <t>như trên</t>
        </is>
      </c>
      <c r="G76" s="2" t="inlineStr">
        <is>
          <t>Dựng S3 (A = 50%).</t>
        </is>
      </c>
      <c r="H76" s="2" t="inlineStr">
        <is>
          <t>Có cảnh báo "hoàn thành dưới 100% số lượng giao"; xếp loại vẫn theo điểm (Hoàn thành), không tự hạ.</t>
        </is>
      </c>
      <c r="I76" s="2" t="inlineStr">
        <is>
          <t>tests đơn vị cùng mô-đun</t>
        </is>
      </c>
      <c r="J76" s="2" t="inlineStr">
        <is>
          <t>3/3 điều kiện đạt</t>
        </is>
      </c>
      <c r="K76" s="2" t="inlineStr">
        <is>
          <t>Đ</t>
        </is>
      </c>
      <c r="L76" s="2" t="inlineStr"/>
      <c r="M76" s="2" t="inlineStr">
        <is>
          <t>Evidence: evidence/UC-10/TC-10-12.json</t>
        </is>
      </c>
      <c r="N76" s="2" t="inlineStr">
        <is>
          <t>Claude (chạy tự động)</t>
        </is>
      </c>
      <c r="O76" s="2" t="inlineStr">
        <is>
          <t>2026-10-18</t>
        </is>
      </c>
    </row>
    <row r="77">
      <c r="A77" s="2" t="inlineStr">
        <is>
          <t>TC-10-13</t>
        </is>
      </c>
      <c r="B77" s="2" t="inlineStr">
        <is>
          <t>UC-10</t>
        </is>
      </c>
      <c r="C77" s="2" t="inlineStr">
        <is>
          <t>AC-10.7</t>
        </is>
      </c>
      <c r="D77" s="2" t="inlineStr">
        <is>
          <t>Âm</t>
        </is>
      </c>
      <c r="E77" s="2" t="inlineStr">
        <is>
          <t>P1</t>
        </is>
      </c>
      <c r="F77" s="2" t="inlineStr">
        <is>
          <t>phoban</t>
        </is>
      </c>
      <c r="G77" s="2" t="inlineStr">
        <is>
          <t>Thẩm định hồ sơ lãnh đạo mà không nhập ba tiêu chí lãnh đạo.</t>
        </is>
      </c>
      <c r="H77" s="2" t="inlineStr">
        <is>
          <t>Bị từ chối, nêu thiếu gì.</t>
        </is>
      </c>
      <c r="I77" s="2" t="inlineStr">
        <is>
          <t>tests đơn vị cùng mô-đun</t>
        </is>
      </c>
      <c r="J77" s="2" t="inlineStr">
        <is>
          <t>2/2 điều kiện đạt</t>
        </is>
      </c>
      <c r="K77" s="2" t="inlineStr">
        <is>
          <t>Đ</t>
        </is>
      </c>
      <c r="L77" s="2" t="inlineStr"/>
      <c r="M77" s="2" t="inlineStr">
        <is>
          <t>Evidence: evidence/UC-10/TC-10-13.json</t>
        </is>
      </c>
      <c r="N77" s="2" t="inlineStr">
        <is>
          <t>Claude (chạy tự động)</t>
        </is>
      </c>
      <c r="O77" s="2" t="inlineStr">
        <is>
          <t>2026-10-18</t>
        </is>
      </c>
    </row>
    <row r="78">
      <c r="A78" s="2" t="inlineStr">
        <is>
          <t>TC-10-14</t>
        </is>
      </c>
      <c r="B78" s="2" t="inlineStr">
        <is>
          <t>UC-10</t>
        </is>
      </c>
      <c r="C78" s="2" t="inlineStr">
        <is>
          <t>AC-10.7</t>
        </is>
      </c>
      <c r="D78" s="2" t="inlineStr">
        <is>
          <t>Âm</t>
        </is>
      </c>
      <c r="E78" s="2" t="inlineStr">
        <is>
          <t>P2</t>
        </is>
      </c>
      <c r="F78" s="2" t="inlineStr">
        <is>
          <t>truongphong</t>
        </is>
      </c>
      <c r="G78" s="2" t="inlineStr">
        <is>
          <t>Thẩm định khi có dòng đã có kết quả mà chưa đặt mức chất lượng.</t>
        </is>
      </c>
      <c r="H78" s="2" t="inlineStr">
        <is>
          <t>Bị từ chối hoặc hồ sơ báo chưa đầy đủ.</t>
        </is>
      </c>
      <c r="I78" s="2" t="inlineStr">
        <is>
          <t>tests đơn vị cùng mô-đun</t>
        </is>
      </c>
      <c r="J78" s="2" t="inlineStr">
        <is>
          <t>1/1 điều kiện đạt</t>
        </is>
      </c>
      <c r="K78" s="2" t="inlineStr">
        <is>
          <t>Đ</t>
        </is>
      </c>
      <c r="L78" s="2" t="inlineStr"/>
      <c r="M78" s="2" t="inlineStr">
        <is>
          <t>Evidence: evidence/UC-10/TC-10-14.json</t>
        </is>
      </c>
      <c r="N78" s="2" t="inlineStr">
        <is>
          <t>Claude (chạy tự động)</t>
        </is>
      </c>
      <c r="O78" s="2" t="inlineStr">
        <is>
          <t>2026-10-18</t>
        </is>
      </c>
    </row>
    <row r="79">
      <c r="A79" s="2" t="inlineStr">
        <is>
          <t>TC-10-15</t>
        </is>
      </c>
      <c r="B79" s="2" t="inlineStr">
        <is>
          <t>UC-10</t>
        </is>
      </c>
      <c r="C79" s="2" t="inlineStr">
        <is>
          <t>AC-10.8</t>
        </is>
      </c>
      <c r="D79" s="2" t="inlineStr">
        <is>
          <t>Âm</t>
        </is>
      </c>
      <c r="E79" s="2" t="inlineStr">
        <is>
          <t>P1</t>
        </is>
      </c>
      <c r="F79" s="2" t="inlineStr">
        <is>
          <t>phophong (cấp ngang)</t>
        </is>
      </c>
      <c r="G79" s="2" t="inlineStr">
        <is>
          <t>Cố thẩm định hồ sơ của đồng cấp; cố thẩm định hồ sơ của chính mình.</t>
        </is>
      </c>
      <c r="H79" s="2" t="inlineStr">
        <is>
          <t>Cả hai bị từ chối 403.</t>
        </is>
      </c>
      <c r="I79" s="2" t="inlineStr">
        <is>
          <t>app.e2e-spec.ts</t>
        </is>
      </c>
      <c r="J79" s="2" t="inlineStr">
        <is>
          <t>2/2 điều kiện đạt</t>
        </is>
      </c>
      <c r="K79" s="2" t="inlineStr">
        <is>
          <t>Đ</t>
        </is>
      </c>
      <c r="L79" s="2" t="inlineStr"/>
      <c r="M79" s="2" t="inlineStr">
        <is>
          <t>Evidence: evidence/UC-10/TC-10-15.json</t>
        </is>
      </c>
      <c r="N79" s="2" t="inlineStr">
        <is>
          <t>Claude (chạy tự động)</t>
        </is>
      </c>
      <c r="O79" s="2" t="inlineStr">
        <is>
          <t>2026-10-18</t>
        </is>
      </c>
    </row>
    <row r="80">
      <c r="A80" s="2" t="inlineStr">
        <is>
          <t>TC-10-16</t>
        </is>
      </c>
      <c r="B80" s="2" t="inlineStr">
        <is>
          <t>UC-10</t>
        </is>
      </c>
      <c r="C80" s="2" t="inlineStr">
        <is>
          <t>AC-09.2</t>
        </is>
      </c>
      <c r="D80" s="2" t="inlineStr">
        <is>
          <t>Âm</t>
        </is>
      </c>
      <c r="E80" s="2" t="inlineStr">
        <is>
          <t>P2</t>
        </is>
      </c>
      <c r="F80" s="2" t="inlineStr">
        <is>
          <t>truongphong</t>
        </is>
      </c>
      <c r="G80" s="2" t="inlineStr">
        <is>
          <t>Thẩm định chấm khác tự chấm (đổi Không đảm bảo thành Đảm bảo) nhưng để trống căn cứ riêng.</t>
        </is>
      </c>
      <c r="H80" s="2" t="inlineStr">
        <is>
          <t>Bị từ chối; yêu cầu ghi căn cứ riêng của người chấm.</t>
        </is>
      </c>
      <c r="I80" s="2" t="inlineStr">
        <is>
          <t>general-criteria.spec.ts</t>
        </is>
      </c>
      <c r="J80" s="2" t="inlineStr">
        <is>
          <t>3/3 điều kiện đạt</t>
        </is>
      </c>
      <c r="K80" s="2" t="inlineStr">
        <is>
          <t>Đ</t>
        </is>
      </c>
      <c r="L80" s="2" t="inlineStr"/>
      <c r="M80" s="2" t="inlineStr">
        <is>
          <t>Evidence: evidence/UC-10/TC-10-16.json</t>
        </is>
      </c>
      <c r="N80" s="2" t="inlineStr">
        <is>
          <t>Claude (chạy tự động)</t>
        </is>
      </c>
      <c r="O80" s="2" t="inlineStr">
        <is>
          <t>2026-10-18</t>
        </is>
      </c>
    </row>
    <row r="81">
      <c r="A81" s="2" t="inlineStr">
        <is>
          <t>TC-11-01</t>
        </is>
      </c>
      <c r="B81" s="2" t="inlineStr">
        <is>
          <t>UC-11</t>
        </is>
      </c>
      <c r="C81" s="2" t="inlineStr">
        <is>
          <t>AC-11.1</t>
        </is>
      </c>
      <c r="D81" s="2" t="inlineStr">
        <is>
          <t>Chính</t>
        </is>
      </c>
      <c r="E81" s="2" t="inlineStr">
        <is>
          <t>P1</t>
        </is>
      </c>
      <c r="F81" s="2" t="inlineStr">
        <is>
          <t>phoban</t>
        </is>
      </c>
      <c r="G81" s="2" t="inlineStr">
        <is>
          <t>Phê duyệt hồ sơ trưởng phòng đã thẩm định.</t>
        </is>
      </c>
      <c r="H81" s="2" t="inlineStr">
        <is>
          <t>Trạng thái APPROVED; chuyên viên/trưởng phòng nhận thông báo; nhật ký `evaluation.approve`.</t>
        </is>
      </c>
      <c r="I81" s="2" t="inlineStr">
        <is>
          <t>app.e2e-spec.ts</t>
        </is>
      </c>
      <c r="J81" s="2" t="inlineStr">
        <is>
          <t>6/6 điều kiện đạt</t>
        </is>
      </c>
      <c r="K81" s="2" t="inlineStr">
        <is>
          <t>Đ</t>
        </is>
      </c>
      <c r="L81" s="2" t="inlineStr"/>
      <c r="M81" s="2" t="inlineStr">
        <is>
          <t>Evidence: evidence/UC-11/TC-11-01.json</t>
        </is>
      </c>
      <c r="N81" s="2" t="inlineStr">
        <is>
          <t>Claude (chạy tự động)</t>
        </is>
      </c>
      <c r="O81" s="2" t="inlineStr">
        <is>
          <t>2026-10-18</t>
        </is>
      </c>
    </row>
    <row r="82">
      <c r="A82" s="2" t="inlineStr">
        <is>
          <t>TC-11-02</t>
        </is>
      </c>
      <c r="B82" s="2" t="inlineStr">
        <is>
          <t>UC-11</t>
        </is>
      </c>
      <c r="C82" s="2" t="inlineStr">
        <is>
          <t>AC-11.1</t>
        </is>
      </c>
      <c r="D82" s="2" t="inlineStr">
        <is>
          <t>Chính</t>
        </is>
      </c>
      <c r="E82" s="2" t="inlineStr">
        <is>
          <t>P1</t>
        </is>
      </c>
      <c r="F82" s="2" t="inlineStr">
        <is>
          <t>phoban</t>
        </is>
      </c>
      <c r="G82" s="2" t="inlineStr">
        <is>
          <t>Trả lại hồ sơ kèm lý do; thử trả lại không lý do.</t>
        </is>
      </c>
      <c r="H82" s="2" t="inlineStr">
        <is>
          <t>Có lý do: về bước trước, chủ hồ sơ nhận thông báo; không lý do: từ chối.</t>
        </is>
      </c>
      <c r="I82" s="2" t="inlineStr">
        <is>
          <t>app.e2e-spec.ts</t>
        </is>
      </c>
      <c r="J82" s="2" t="inlineStr">
        <is>
          <t>4/4 điều kiện đạt</t>
        </is>
      </c>
      <c r="K82" s="2" t="inlineStr">
        <is>
          <t>Đ</t>
        </is>
      </c>
      <c r="L82" s="2" t="inlineStr"/>
      <c r="M82" s="2" t="inlineStr">
        <is>
          <t>Evidence: evidence/UC-11/TC-11-02.json</t>
        </is>
      </c>
      <c r="N82" s="2" t="inlineStr">
        <is>
          <t>Claude (chạy tự động)</t>
        </is>
      </c>
      <c r="O82" s="2" t="inlineStr">
        <is>
          <t>2026-10-18</t>
        </is>
      </c>
    </row>
    <row r="83">
      <c r="A83" s="2" t="inlineStr">
        <is>
          <t>TC-11-03</t>
        </is>
      </c>
      <c r="B83" s="2" t="inlineStr">
        <is>
          <t>UC-11</t>
        </is>
      </c>
      <c r="C83" s="2" t="inlineStr">
        <is>
          <t>AC-11.5</t>
        </is>
      </c>
      <c r="D83" s="2" t="inlineStr">
        <is>
          <t>Chính</t>
        </is>
      </c>
      <c r="E83" s="2" t="inlineStr">
        <is>
          <t>P2</t>
        </is>
      </c>
      <c r="F83" s="2" t="inlineStr">
        <is>
          <t>–</t>
        </is>
      </c>
      <c r="G83" s="2" t="inlineStr">
        <is>
          <t>Sau TC-11-02 xem hồ sơ.</t>
        </is>
      </c>
      <c r="H83" s="2" t="inlineStr">
        <is>
          <t>Phần thẩm định bị xóa, phần tự chấm giữ nguyên.</t>
        </is>
      </c>
      <c r="I83" s="2" t="inlineStr">
        <is>
          <t>tests đơn vị cùng mô-đun</t>
        </is>
      </c>
      <c r="J83" s="2" t="inlineStr">
        <is>
          <t>3/3 điều kiện đạt</t>
        </is>
      </c>
      <c r="K83" s="2" t="inlineStr">
        <is>
          <t>Đ</t>
        </is>
      </c>
      <c r="L83" s="2" t="inlineStr"/>
      <c r="M83" s="2" t="inlineStr">
        <is>
          <t>Evidence: evidence/UC-11/TC-11-03.json</t>
        </is>
      </c>
      <c r="N83" s="2" t="inlineStr">
        <is>
          <t>Claude (chạy tự động)</t>
        </is>
      </c>
      <c r="O83" s="2" t="inlineStr">
        <is>
          <t>2026-10-18</t>
        </is>
      </c>
    </row>
    <row r="84">
      <c r="A84" s="2" t="inlineStr">
        <is>
          <t>TC-11-04</t>
        </is>
      </c>
      <c r="B84" s="2" t="inlineStr">
        <is>
          <t>UC-11</t>
        </is>
      </c>
      <c r="C84" s="2" t="inlineStr">
        <is>
          <t>AC-11.2</t>
        </is>
      </c>
      <c r="D84" s="2" t="inlineStr">
        <is>
          <t>Âm</t>
        </is>
      </c>
      <c r="E84" s="2" t="inlineStr">
        <is>
          <t>P1</t>
        </is>
      </c>
      <c r="F84" s="2" t="inlineStr">
        <is>
          <t>truongphong</t>
        </is>
      </c>
      <c r="G84" s="2" t="inlineStr">
        <is>
          <t>Thẩm định xong, cố phê duyệt chính hồ sơ mình vừa thẩm định (nếu cùng một người ở hai bước).</t>
        </is>
      </c>
      <c r="H84" s="2" t="inlineStr">
        <is>
          <t>Bị từ chối; phê duyệt do cấp có thẩm quyền khác bước thẩm định theo luồng; người được đánh giá không tự phê duyệt.</t>
        </is>
      </c>
      <c r="I84" s="2" t="inlineStr">
        <is>
          <t>app.e2e-spec.ts</t>
        </is>
      </c>
      <c r="J84" s="2" t="inlineStr">
        <is>
          <t>3/3 điều kiện đạt</t>
        </is>
      </c>
      <c r="K84" s="2" t="inlineStr">
        <is>
          <t>Đ</t>
        </is>
      </c>
      <c r="L84" s="2" t="inlineStr"/>
      <c r="M84" s="2" t="inlineStr">
        <is>
          <t>Evidence: evidence/UC-11/TC-11-04.json</t>
        </is>
      </c>
      <c r="N84" s="2" t="inlineStr">
        <is>
          <t>Claude (chạy tự động)</t>
        </is>
      </c>
      <c r="O84" s="2" t="inlineStr">
        <is>
          <t>2026-10-18</t>
        </is>
      </c>
    </row>
    <row r="85">
      <c r="A85" s="2" t="inlineStr">
        <is>
          <t>TC-11-05</t>
        </is>
      </c>
      <c r="B85" s="2" t="inlineStr">
        <is>
          <t>UC-11</t>
        </is>
      </c>
      <c r="C85" s="2" t="inlineStr">
        <is>
          <t>AC-11.3</t>
        </is>
      </c>
      <c r="D85" s="2" t="inlineStr">
        <is>
          <t>Âm</t>
        </is>
      </c>
      <c r="E85" s="2" t="inlineStr">
        <is>
          <t>P1</t>
        </is>
      </c>
      <c r="F85" s="2" t="inlineStr">
        <is>
          <t>truongban</t>
        </is>
      </c>
      <c r="G85" s="2" t="inlineStr">
        <is>
          <t>Mở hồ sơ APPROVED; tìm nút sửa.</t>
        </is>
      </c>
      <c r="H85" s="2" t="inlineStr">
        <is>
          <t>Không có nút sửa (chỉ có Hủy kết quả, xem UC-12).</t>
        </is>
      </c>
      <c r="I85" s="2" t="inlineStr">
        <is>
          <t>app.e2e-spec.ts</t>
        </is>
      </c>
      <c r="J85" s="2" t="inlineStr">
        <is>
          <t>8/8 điều kiện đạt</t>
        </is>
      </c>
      <c r="K85" s="2" t="inlineStr">
        <is>
          <t>Đ</t>
        </is>
      </c>
      <c r="L85" s="2" t="inlineStr"/>
      <c r="M85" s="2" t="inlineStr">
        <is>
          <t>Evidence: evidence/UC-11/TC-11-05.json</t>
        </is>
      </c>
      <c r="N85" s="2" t="inlineStr">
        <is>
          <t>Claude (chạy tự động)</t>
        </is>
      </c>
      <c r="O85" s="2" t="inlineStr">
        <is>
          <t>2026-10-18</t>
        </is>
      </c>
    </row>
    <row r="86">
      <c r="A86" s="2" t="inlineStr">
        <is>
          <t>TC-11-06</t>
        </is>
      </c>
      <c r="B86" s="2" t="inlineStr">
        <is>
          <t>UC-11</t>
        </is>
      </c>
      <c r="C86" s="2" t="inlineStr">
        <is>
          <t>AC-11.3</t>
        </is>
      </c>
      <c r="D86" s="2" t="inlineStr">
        <is>
          <t>Âm</t>
        </is>
      </c>
      <c r="E86" s="2" t="inlineStr">
        <is>
          <t>P1</t>
        </is>
      </c>
      <c r="F86" s="2" t="inlineStr">
        <is>
          <t>(quản trị CSDL)</t>
        </is>
      </c>
      <c r="G86" s="2" t="inlineStr">
        <is>
          <t>Chạy `UPDATE evaluation SET total_score = 1 WHERE status = 'APPROVED'` trên bản sao CSDL thử.</t>
        </is>
      </c>
      <c r="H86" s="2" t="inlineStr">
        <is>
          <t>CSDL từ chối (lỗi từ trigger `evaluation_guard`).</t>
        </is>
      </c>
      <c r="I86" s="2" t="inlineStr">
        <is>
          <t>app.e2e-spec.ts</t>
        </is>
      </c>
      <c r="J86" s="2" t="inlineStr">
        <is>
          <t>3/3 điều kiện đạt</t>
        </is>
      </c>
      <c r="K86" s="2" t="inlineStr">
        <is>
          <t>Đ</t>
        </is>
      </c>
      <c r="L86" s="2" t="inlineStr"/>
      <c r="M86" s="2" t="inlineStr">
        <is>
          <t>Evidence: evidence/UC-11/TC-11-06.json</t>
        </is>
      </c>
      <c r="N86" s="2" t="inlineStr">
        <is>
          <t>Claude (chạy tự động)</t>
        </is>
      </c>
      <c r="O86" s="2" t="inlineStr">
        <is>
          <t>2026-10-18</t>
        </is>
      </c>
    </row>
    <row r="87">
      <c r="A87" s="2" t="inlineStr">
        <is>
          <t>TC-11-07</t>
        </is>
      </c>
      <c r="B87" s="2" t="inlineStr">
        <is>
          <t>UC-11</t>
        </is>
      </c>
      <c r="C87" s="2" t="inlineStr">
        <is>
          <t>AC-11.4</t>
        </is>
      </c>
      <c r="D87" s="2" t="inlineStr">
        <is>
          <t>Chính</t>
        </is>
      </c>
      <c r="E87" s="2" t="inlineStr">
        <is>
          <t>P2</t>
        </is>
      </c>
      <c r="F87" s="2" t="inlineStr">
        <is>
          <t>vanphong</t>
        </is>
      </c>
      <c r="G87" s="2" t="inlineStr">
        <is>
          <t>Xem báo cáo kỳ khi có hồ sơ REVIEWED chưa duyệt.</t>
        </is>
      </c>
      <c r="H87" s="2" t="inlineStr">
        <is>
          <t>Hồ sơ đó đếm "chờ phê duyệt", không vào thống kê điểm chính thức.</t>
        </is>
      </c>
      <c r="I87" s="2" t="inlineStr">
        <is>
          <t>app.e2e-spec.ts</t>
        </is>
      </c>
      <c r="J87" s="2" t="inlineStr">
        <is>
          <t>3/3 điều kiện đạt</t>
        </is>
      </c>
      <c r="K87" s="2" t="inlineStr">
        <is>
          <t>Đ</t>
        </is>
      </c>
      <c r="L87" s="2" t="inlineStr"/>
      <c r="M87" s="2" t="inlineStr">
        <is>
          <t>Evidence: evidence/UC-11/TC-11-07.json</t>
        </is>
      </c>
      <c r="N87" s="2" t="inlineStr">
        <is>
          <t>Claude (chạy tự động)</t>
        </is>
      </c>
      <c r="O87" s="2" t="inlineStr">
        <is>
          <t>2026-10-18</t>
        </is>
      </c>
    </row>
    <row r="88">
      <c r="A88" s="2" t="inlineStr">
        <is>
          <t>TC-12-01</t>
        </is>
      </c>
      <c r="B88" s="2" t="inlineStr">
        <is>
          <t>UC-12</t>
        </is>
      </c>
      <c r="C88" s="2" t="inlineStr">
        <is>
          <t>AC-12.1, AC-12.2, AC-12.6</t>
        </is>
      </c>
      <c r="D88" s="2" t="inlineStr">
        <is>
          <t>Chính</t>
        </is>
      </c>
      <c r="E88" s="2" t="inlineStr">
        <is>
          <t>P1</t>
        </is>
      </c>
      <c r="F88" s="2" t="inlineStr">
        <is>
          <t>người phê duyệt</t>
        </is>
      </c>
      <c r="G88" s="2" t="inlineStr">
        <is>
          <t>1) Mở hồ sơ. 2) Nhấn "Hủy kết quả đã phê duyệt". 3) Chọn "Sai số liệu", căn cứ "Số liệu báo cáo tháng bị nhập sai" (≥ 10 ký tự). 4) Xác nhận.</t>
        </is>
      </c>
      <c r="H88" s="2" t="inlineStr">
        <is>
          <t>Hồ sơ về "Chờ tự chấm"/PLANNED; hiện "Lịch sử hủy kết quả (1)" gồm thời điểm, lý do, căn cứ, "88,33 điểm, Hoàn thành tốt"; chuyên viên và người thẩm định nhận thông báo; nhật ký `evaluation.revoke`.</t>
        </is>
      </c>
      <c r="I88" s="2" t="inlineStr">
        <is>
          <t>revocation.spec.ts; app.e2e-spec.ts</t>
        </is>
      </c>
      <c r="J88" s="2" t="inlineStr">
        <is>
          <t>10/10 điều kiện đạt</t>
        </is>
      </c>
      <c r="K88" s="2" t="inlineStr">
        <is>
          <t>Đ</t>
        </is>
      </c>
      <c r="L88" s="2" t="inlineStr"/>
      <c r="M88" s="2" t="inlineStr">
        <is>
          <t>Evidence: evidence/UC-12/TC-12-01.json</t>
        </is>
      </c>
      <c r="N88" s="2" t="inlineStr">
        <is>
          <t>Claude (chạy tự động)</t>
        </is>
      </c>
      <c r="O88" s="2" t="inlineStr">
        <is>
          <t>2026-10-18</t>
        </is>
      </c>
    </row>
    <row r="89">
      <c r="A89" s="2" t="inlineStr">
        <is>
          <t>TC-12-02</t>
        </is>
      </c>
      <c r="B89" s="2" t="inlineStr">
        <is>
          <t>UC-12</t>
        </is>
      </c>
      <c r="C89" s="2" t="inlineStr">
        <is>
          <t>AC-12.1</t>
        </is>
      </c>
      <c r="D89" s="2" t="inlineStr">
        <is>
          <t>Chính</t>
        </is>
      </c>
      <c r="E89" s="2" t="inlineStr">
        <is>
          <t>P1</t>
        </is>
      </c>
      <c r="F89" s="2" t="inlineStr">
        <is>
          <t>chuyenvien, truongphong, người phê duyệt</t>
        </is>
      </c>
      <c r="G89" s="2" t="inlineStr">
        <is>
          <t>Sau TC-12-01 làm lại từ tự chấm với số liệu mới (ví dụ S3), thẩm định, phê duyệt.</t>
        </is>
      </c>
      <c r="H89" s="2" t="inlineStr">
        <is>
          <t>Hồ sơ được xếp loại lại (65,00, Hoàn thành); lịch sử hủy vẫn giữ kết quả cũ.</t>
        </is>
      </c>
      <c r="I89" s="2" t="inlineStr">
        <is>
          <t>app.e2e-spec.ts</t>
        </is>
      </c>
      <c r="J89" s="2" t="inlineStr">
        <is>
          <t>5/5 điều kiện đạt</t>
        </is>
      </c>
      <c r="K89" s="2" t="inlineStr">
        <is>
          <t>Đ</t>
        </is>
      </c>
      <c r="L89" s="2" t="inlineStr"/>
      <c r="M89" s="2" t="inlineStr">
        <is>
          <t>Evidence: evidence/UC-12/TC-12-02.json</t>
        </is>
      </c>
      <c r="N89" s="2" t="inlineStr">
        <is>
          <t>Claude (chạy tự động)</t>
        </is>
      </c>
      <c r="O89" s="2" t="inlineStr">
        <is>
          <t>2026-10-18</t>
        </is>
      </c>
    </row>
    <row r="90">
      <c r="A90" s="2" t="inlineStr">
        <is>
          <t>TC-12-03</t>
        </is>
      </c>
      <c r="B90" s="2" t="inlineStr">
        <is>
          <t>UC-12</t>
        </is>
      </c>
      <c r="C90" s="2" t="inlineStr">
        <is>
          <t>AC-12.2</t>
        </is>
      </c>
      <c r="D90" s="2" t="inlineStr">
        <is>
          <t>Âm</t>
        </is>
      </c>
      <c r="E90" s="2" t="inlineStr">
        <is>
          <t>P1</t>
        </is>
      </c>
      <c r="F90" s="2" t="inlineStr">
        <is>
          <t>quantridulieu hoặc dòng SQL thử</t>
        </is>
      </c>
      <c r="G90" s="2" t="inlineStr">
        <is>
          <t>Cố sửa hoặc xóa bản ghi `evaluation_revocation`.</t>
        </is>
      </c>
      <c r="H90" s="2" t="inlineStr">
        <is>
          <t>CSDL từ chối (trigger chỉ ghi thêm).</t>
        </is>
      </c>
      <c r="I90" s="2" t="inlineStr">
        <is>
          <t>tests cùng mô-đun; app.e2e-spec.ts</t>
        </is>
      </c>
      <c r="J90" s="2" t="inlineStr">
        <is>
          <t>3/3 điều kiện đạt</t>
        </is>
      </c>
      <c r="K90" s="2" t="inlineStr">
        <is>
          <t>Đ</t>
        </is>
      </c>
      <c r="L90" s="2" t="inlineStr"/>
      <c r="M90" s="2" t="inlineStr">
        <is>
          <t>Evidence: evidence/UC-12/TC-12-03.json</t>
        </is>
      </c>
      <c r="N90" s="2" t="inlineStr">
        <is>
          <t>Claude (chạy tự động)</t>
        </is>
      </c>
      <c r="O90" s="2" t="inlineStr">
        <is>
          <t>2026-10-18</t>
        </is>
      </c>
    </row>
    <row r="91">
      <c r="A91" s="2" t="inlineStr">
        <is>
          <t>TC-12-04</t>
        </is>
      </c>
      <c r="B91" s="2" t="inlineStr">
        <is>
          <t>UC-12</t>
        </is>
      </c>
      <c r="C91" s="2" t="inlineStr">
        <is>
          <t>AC-12.3</t>
        </is>
      </c>
      <c r="D91" s="2" t="inlineStr">
        <is>
          <t>Âm</t>
        </is>
      </c>
      <c r="E91" s="2" t="inlineStr">
        <is>
          <t>P1</t>
        </is>
      </c>
      <c r="F91" s="2" t="inlineStr">
        <is>
          <t>truongphong (cấp ngang) hoặc chuyenvien</t>
        </is>
      </c>
      <c r="G91" s="2" t="inlineStr">
        <is>
          <t>Mở hồ sơ APPROVED của người khác; tìm nút hủy; gọi `POST .../revoke`.</t>
        </is>
      </c>
      <c r="H91" s="2" t="inlineStr">
        <is>
          <t>Không có nút; API 403/409.</t>
        </is>
      </c>
      <c r="I91" s="2" t="inlineStr">
        <is>
          <t>revocation.spec.ts</t>
        </is>
      </c>
      <c r="J91" s="2" t="inlineStr">
        <is>
          <t>4/4 điều kiện đạt</t>
        </is>
      </c>
      <c r="K91" s="2" t="inlineStr">
        <is>
          <t>Đ</t>
        </is>
      </c>
      <c r="L91" s="2" t="inlineStr"/>
      <c r="M91" s="2" t="inlineStr">
        <is>
          <t>Evidence: evidence/UC-12/TC-12-04.json</t>
        </is>
      </c>
      <c r="N91" s="2" t="inlineStr">
        <is>
          <t>Claude (chạy tự động)</t>
        </is>
      </c>
      <c r="O91" s="2" t="inlineStr">
        <is>
          <t>2026-10-18</t>
        </is>
      </c>
    </row>
    <row r="92">
      <c r="A92" s="2" t="inlineStr">
        <is>
          <t>TC-12-05</t>
        </is>
      </c>
      <c r="B92" s="2" t="inlineStr">
        <is>
          <t>UC-12</t>
        </is>
      </c>
      <c r="C92" s="2" t="inlineStr">
        <is>
          <t>AC-12.3</t>
        </is>
      </c>
      <c r="D92" s="2" t="inlineStr">
        <is>
          <t>Chính</t>
        </is>
      </c>
      <c r="E92" s="2" t="inlineStr">
        <is>
          <t>P2</t>
        </is>
      </c>
      <c r="F92" s="2" t="inlineStr">
        <is>
          <t>truongban</t>
        </is>
      </c>
      <c r="G92" s="2" t="inlineStr">
        <is>
          <t>Hủy hồ sơ do cấp dưới phê duyệt.</t>
        </is>
      </c>
      <c r="H92" s="2" t="inlineStr">
        <is>
          <t>Thành công (cấp trên của người phê duyệt có quyền).</t>
        </is>
      </c>
      <c r="I92" s="2" t="inlineStr">
        <is>
          <t>revocation.spec.ts</t>
        </is>
      </c>
      <c r="J92" s="2" t="inlineStr">
        <is>
          <t>2/2 điều kiện đạt</t>
        </is>
      </c>
      <c r="K92" s="2" t="inlineStr">
        <is>
          <t>Đ</t>
        </is>
      </c>
      <c r="L92" s="2" t="inlineStr"/>
      <c r="M92" s="2" t="inlineStr">
        <is>
          <t>Evidence: evidence/UC-12/TC-12-05.json</t>
        </is>
      </c>
      <c r="N92" s="2" t="inlineStr">
        <is>
          <t>Claude (chạy tự động)</t>
        </is>
      </c>
      <c r="O92" s="2" t="inlineStr">
        <is>
          <t>2026-10-18</t>
        </is>
      </c>
    </row>
    <row r="93">
      <c r="A93" s="2" t="inlineStr">
        <is>
          <t>TC-12-06</t>
        </is>
      </c>
      <c r="B93" s="2" t="inlineStr">
        <is>
          <t>UC-12</t>
        </is>
      </c>
      <c r="C93" s="2" t="inlineStr">
        <is>
          <t>AC-12.4</t>
        </is>
      </c>
      <c r="D93" s="2" t="inlineStr">
        <is>
          <t>Âm</t>
        </is>
      </c>
      <c r="E93" s="2" t="inlineStr">
        <is>
          <t>P1</t>
        </is>
      </c>
      <c r="F93" s="2" t="inlineStr">
        <is>
          <t>người phê duyệt</t>
        </is>
      </c>
      <c r="G93" s="2" t="inlineStr">
        <is>
          <t>Hủy hồ sơ của kỳ đã đóng.</t>
        </is>
      </c>
      <c r="H93" s="2" t="inlineStr">
        <is>
          <t>Bị từ chối, nêu kỳ không còn mở.</t>
        </is>
      </c>
      <c r="I93" s="2" t="inlineStr">
        <is>
          <t>revocation.spec.ts</t>
        </is>
      </c>
      <c r="J93" s="2" t="inlineStr">
        <is>
          <t>3/3 điều kiện đạt</t>
        </is>
      </c>
      <c r="K93" s="2" t="inlineStr">
        <is>
          <t>Đ</t>
        </is>
      </c>
      <c r="L93" s="2" t="inlineStr"/>
      <c r="M93" s="2" t="inlineStr">
        <is>
          <t>Evidence: evidence/UC-12/TC-12-06.json</t>
        </is>
      </c>
      <c r="N93" s="2" t="inlineStr">
        <is>
          <t>Claude (chạy tự động)</t>
        </is>
      </c>
      <c r="O93" s="2" t="inlineStr">
        <is>
          <t>2026-10-18</t>
        </is>
      </c>
    </row>
    <row r="94">
      <c r="A94" s="2" t="inlineStr">
        <is>
          <t>TC-12-07</t>
        </is>
      </c>
      <c r="B94" s="2" t="inlineStr">
        <is>
          <t>UC-12</t>
        </is>
      </c>
      <c r="C94" s="2" t="inlineStr">
        <is>
          <t>AC-12.4</t>
        </is>
      </c>
      <c r="D94" s="2" t="inlineStr">
        <is>
          <t>Âm</t>
        </is>
      </c>
      <c r="E94" s="2" t="inlineStr">
        <is>
          <t>P1</t>
        </is>
      </c>
      <c r="F94" s="2" t="inlineStr">
        <is>
          <t>người phê duyệt</t>
        </is>
      </c>
      <c r="G94" s="2" t="inlineStr">
        <is>
          <t>Hủy hồ sơ tháng khi hồ sơ năm của người đó đã APPROVED.</t>
        </is>
      </c>
      <c r="H94" s="2" t="inlineStr">
        <is>
          <t>Bị từ chối, yêu cầu hủy hồ sơ năm trước.</t>
        </is>
      </c>
      <c r="I94" s="2" t="inlineStr">
        <is>
          <t>app.e2e-spec.ts</t>
        </is>
      </c>
      <c r="J94" s="2" t="inlineStr">
        <is>
          <t>1/1 điều kiện đạt</t>
        </is>
      </c>
      <c r="K94" s="2" t="inlineStr">
        <is>
          <t>Đ</t>
        </is>
      </c>
      <c r="L94" s="2" t="inlineStr"/>
      <c r="M94" s="2" t="inlineStr">
        <is>
          <t>Evidence: evidence/UC-12/TC-12-07.json</t>
        </is>
      </c>
      <c r="N94" s="2" t="inlineStr">
        <is>
          <t>Claude (chạy tự động)</t>
        </is>
      </c>
      <c r="O94" s="2" t="inlineStr">
        <is>
          <t>2026-10-18</t>
        </is>
      </c>
    </row>
    <row r="95">
      <c r="A95" s="2" t="inlineStr">
        <is>
          <t>TC-12-08</t>
        </is>
      </c>
      <c r="B95" s="2" t="inlineStr">
        <is>
          <t>UC-12</t>
        </is>
      </c>
      <c r="C95" s="2" t="inlineStr">
        <is>
          <t>AC-12.1</t>
        </is>
      </c>
      <c r="D95" s="2" t="inlineStr">
        <is>
          <t>Âm</t>
        </is>
      </c>
      <c r="E95" s="2" t="inlineStr">
        <is>
          <t>P2</t>
        </is>
      </c>
      <c r="F95" s="2" t="inlineStr">
        <is>
          <t>người phê duyệt</t>
        </is>
      </c>
      <c r="G95" s="2" t="inlineStr">
        <is>
          <t>Nhập căn cứ 9 ký tự.</t>
        </is>
      </c>
      <c r="H95" s="2" t="inlineStr">
        <is>
          <t>Không gửi được; yêu cầu ít nhất 10 ký tự.</t>
        </is>
      </c>
      <c r="I95" s="2" t="inlineStr">
        <is>
          <t>tests đơn vị cùng mô-đun</t>
        </is>
      </c>
      <c r="J95" s="2" t="inlineStr">
        <is>
          <t>3/3 điều kiện đạt</t>
        </is>
      </c>
      <c r="K95" s="2" t="inlineStr">
        <is>
          <t>Đ</t>
        </is>
      </c>
      <c r="L95" s="2" t="inlineStr"/>
      <c r="M95" s="2" t="inlineStr">
        <is>
          <t>Evidence: evidence/UC-12/TC-12-08.json</t>
        </is>
      </c>
      <c r="N95" s="2" t="inlineStr">
        <is>
          <t>Claude (chạy tự động)</t>
        </is>
      </c>
      <c r="O95" s="2" t="inlineStr">
        <is>
          <t>2026-10-18</t>
        </is>
      </c>
    </row>
    <row r="96">
      <c r="A96" s="2" t="inlineStr">
        <is>
          <t>TC-12-09</t>
        </is>
      </c>
      <c r="B96" s="2" t="inlineStr">
        <is>
          <t>UC-12</t>
        </is>
      </c>
      <c r="C96" s="2" t="inlineStr">
        <is>
          <t>AC-12.5</t>
        </is>
      </c>
      <c r="D96" s="2" t="inlineStr">
        <is>
          <t>Âm</t>
        </is>
      </c>
      <c r="E96" s="2" t="inlineStr">
        <is>
          <t>P1</t>
        </is>
      </c>
      <c r="F96" s="2" t="inlineStr">
        <is>
          <t>(quản trị CSDL)</t>
        </is>
      </c>
      <c r="G96" s="2" t="inlineStr">
        <is>
          <t>Trên bản sao CSDL: `UPDATE evaluation SET status = 'PLANNED' WHERE id = '&lt;APPROVED&gt;'` không có bản ghi hủy.</t>
        </is>
      </c>
      <c r="H96" s="2" t="inlineStr">
        <is>
          <t>Bị trigger từ chối.</t>
        </is>
      </c>
      <c r="I96" s="2" t="inlineStr">
        <is>
          <t>app.e2e-spec.ts</t>
        </is>
      </c>
      <c r="J96" s="2" t="inlineStr">
        <is>
          <t>2/2 điều kiện đạt</t>
        </is>
      </c>
      <c r="K96" s="2" t="inlineStr">
        <is>
          <t>Đ</t>
        </is>
      </c>
      <c r="L96" s="2" t="inlineStr"/>
      <c r="M96" s="2" t="inlineStr">
        <is>
          <t>Evidence: evidence/UC-12/TC-12-09.json</t>
        </is>
      </c>
      <c r="N96" s="2" t="inlineStr">
        <is>
          <t>Claude (chạy tự động)</t>
        </is>
      </c>
      <c r="O96" s="2" t="inlineStr">
        <is>
          <t>2026-10-18</t>
        </is>
      </c>
    </row>
    <row r="97">
      <c r="A97" s="2" t="inlineStr">
        <is>
          <t>TC-12-10</t>
        </is>
      </c>
      <c r="B97" s="2" t="inlineStr">
        <is>
          <t>UC-12</t>
        </is>
      </c>
      <c r="C97" s="2" t="inlineStr">
        <is>
          <t>AC-12.1</t>
        </is>
      </c>
      <c r="D97" s="2" t="inlineStr">
        <is>
          <t>Chính</t>
        </is>
      </c>
      <c r="E97" s="2" t="inlineStr">
        <is>
          <t>P2</t>
        </is>
      </c>
      <c r="F97" s="2" t="inlineStr">
        <is>
          <t>người phê duyệt</t>
        </is>
      </c>
      <c r="G97" s="2" t="inlineStr">
        <is>
          <t>Hủy hồ sơ đã có hạn mức xuất sắc hoặc đã ngoại lệ năm.</t>
        </is>
      </c>
      <c r="H97" s="2" t="inlineStr">
        <is>
          <t>Hủy được; dữ liệu cũ vẫn nằm trong `previous` của lịch sử hủy.</t>
        </is>
      </c>
      <c r="I97" s="2" t="inlineStr">
        <is>
          <t>tests đơn vị cùng mô-đun</t>
        </is>
      </c>
      <c r="J97" s="2" t="inlineStr">
        <is>
          <t>1/1 điều kiện đạt</t>
        </is>
      </c>
      <c r="K97" s="2" t="inlineStr">
        <is>
          <t>Đ</t>
        </is>
      </c>
      <c r="L97" s="2" t="inlineStr"/>
      <c r="M97" s="2" t="inlineStr">
        <is>
          <t>Evidence: evidence/UC-12/TC-12-10.json</t>
        </is>
      </c>
      <c r="N97" s="2" t="inlineStr">
        <is>
          <t>Claude (chạy tự động)</t>
        </is>
      </c>
      <c r="O97" s="2" t="inlineStr">
        <is>
          <t>2026-10-18</t>
        </is>
      </c>
    </row>
    <row r="98">
      <c r="A98" s="2" t="inlineStr">
        <is>
          <t>TC-13-01</t>
        </is>
      </c>
      <c r="B98" s="2" t="inlineStr">
        <is>
          <t>UC-13</t>
        </is>
      </c>
      <c r="C98" s="2" t="inlineStr">
        <is>
          <t>AC-13.1</t>
        </is>
      </c>
      <c r="D98" s="2" t="inlineStr">
        <is>
          <t>Âm</t>
        </is>
      </c>
      <c r="E98" s="2" t="inlineStr">
        <is>
          <t>P1</t>
        </is>
      </c>
      <c r="F98" s="2" t="inlineStr">
        <is>
          <t>vanphong</t>
        </is>
      </c>
      <c r="G98" s="2" t="inlineStr">
        <is>
          <t>Ghi kỳ luật cho `chuyenvien`: bỏ trống hình thức, hệ thống hoặc loại vi phạm.</t>
        </is>
      </c>
      <c r="H98" s="2" t="inlineStr">
        <is>
          <t>Bị từ chối (ứng dụng và ràng buộc CSDL).</t>
        </is>
      </c>
      <c r="I98" s="2" t="inlineStr">
        <is>
          <t>tests cùng mô-đun; app.e2e-spec.ts</t>
        </is>
      </c>
      <c r="J98" s="2" t="inlineStr">
        <is>
          <t>4/4 điều kiện đạt</t>
        </is>
      </c>
      <c r="K98" s="2" t="inlineStr">
        <is>
          <t>Đ</t>
        </is>
      </c>
      <c r="L98" s="2" t="inlineStr"/>
      <c r="M98" s="2" t="inlineStr">
        <is>
          <t>Evidence: evidence/UC-13/TC-13-01.json</t>
        </is>
      </c>
      <c r="N98" s="2" t="inlineStr">
        <is>
          <t>Claude (chạy tự động)</t>
        </is>
      </c>
      <c r="O98" s="2" t="inlineStr">
        <is>
          <t>2026-10-18</t>
        </is>
      </c>
    </row>
    <row r="99">
      <c r="A99" s="2" t="inlineStr">
        <is>
          <t>TC-13-02</t>
        </is>
      </c>
      <c r="B99" s="2" t="inlineStr">
        <is>
          <t>UC-13</t>
        </is>
      </c>
      <c r="C99" s="2" t="inlineStr">
        <is>
          <t>AC-13.1</t>
        </is>
      </c>
      <c r="D99" s="2" t="inlineStr">
        <is>
          <t>Chính</t>
        </is>
      </c>
      <c r="E99" s="2" t="inlineStr">
        <is>
          <t>P1</t>
        </is>
      </c>
      <c r="F99" s="2" t="inlineStr">
        <is>
          <t>vanphong</t>
        </is>
      </c>
      <c r="G99" s="2" t="inlineStr">
        <is>
          <t>Ghi kỷ luật Khiển trách, hệ thống Hành chính, loại Vi phạm công vụ, ngày hiệu lực trong tháng thử, số văn bản.</t>
        </is>
      </c>
      <c r="H99" s="2" t="inlineStr">
        <is>
          <t>Sự kiện hiện trong hồ sơ cán bộ; chỉ chính người đó, cấp trên và Văn phòng, Trưởng ban xem được.</t>
        </is>
      </c>
      <c r="I99" s="2" t="inlineStr">
        <is>
          <t>app.e2e-spec.ts</t>
        </is>
      </c>
      <c r="J99" s="2" t="inlineStr">
        <is>
          <t>7/7 điều kiện đạt</t>
        </is>
      </c>
      <c r="K99" s="2" t="inlineStr">
        <is>
          <t>Đ</t>
        </is>
      </c>
      <c r="L99" s="2" t="inlineStr"/>
      <c r="M99" s="2" t="inlineStr">
        <is>
          <t>Evidence: evidence/UC-13/TC-13-02.json</t>
        </is>
      </c>
      <c r="N99" s="2" t="inlineStr">
        <is>
          <t>Claude (chạy tự động)</t>
        </is>
      </c>
      <c r="O99" s="2" t="inlineStr">
        <is>
          <t>2026-10-18</t>
        </is>
      </c>
    </row>
    <row r="100">
      <c r="A100" s="2" t="inlineStr">
        <is>
          <t>TC-13-03</t>
        </is>
      </c>
      <c r="B100" s="2" t="inlineStr">
        <is>
          <t>UC-13</t>
        </is>
      </c>
      <c r="C100" s="2" t="inlineStr">
        <is>
          <t>AC-13.2</t>
        </is>
      </c>
      <c r="D100" s="2" t="inlineStr">
        <is>
          <t>Chính</t>
        </is>
      </c>
      <c r="E100" s="2" t="inlineStr">
        <is>
          <t>P1</t>
        </is>
      </c>
      <c r="F100" s="2" t="inlineStr">
        <is>
          <t>chuyenvien</t>
        </is>
      </c>
      <c r="G100" s="2" t="inlineStr">
        <is>
          <t>Mở hồ sơ tháng chứa sự kiện ở TC-13-02.</t>
        </is>
      </c>
      <c r="H100" s="2" t="inlineStr">
        <is>
          <t>Mục I.1, I.2 khóa ở "Không đảm bảo", căn cứ điền sẵn theo số văn bản; không chọn được Đảm bảo; hồ sơ hiện cảnh báo.</t>
        </is>
      </c>
      <c r="I100" s="2" t="inlineStr">
        <is>
          <t>tests đơn vị cùng mô-đun</t>
        </is>
      </c>
      <c r="J100" s="2" t="inlineStr">
        <is>
          <t>4/4 điều kiện đạt</t>
        </is>
      </c>
      <c r="K100" s="2" t="inlineStr">
        <is>
          <t>Đ</t>
        </is>
      </c>
      <c r="L100" s="2" t="inlineStr"/>
      <c r="M100" s="2" t="inlineStr">
        <is>
          <t>Evidence: evidence/UC-13/TC-13-03.json</t>
        </is>
      </c>
      <c r="N100" s="2" t="inlineStr">
        <is>
          <t>Claude (chạy tự động)</t>
        </is>
      </c>
      <c r="O100" s="2" t="inlineStr">
        <is>
          <t>2026-10-18</t>
        </is>
      </c>
    </row>
    <row r="101">
      <c r="A101" s="2" t="inlineStr">
        <is>
          <t>TC-13-04</t>
        </is>
      </c>
      <c r="B101" s="2" t="inlineStr">
        <is>
          <t>UC-13</t>
        </is>
      </c>
      <c r="C101" s="2" t="inlineStr">
        <is>
          <t>AC-13.3</t>
        </is>
      </c>
      <c r="D101" s="2" t="inlineStr">
        <is>
          <t>Chính</t>
        </is>
      </c>
      <c r="E101" s="2" t="inlineStr">
        <is>
          <t>P1</t>
        </is>
      </c>
      <c r="F101" s="2" t="inlineStr">
        <is>
          <t>phoban</t>
        </is>
      </c>
      <c r="G101" s="2" t="inlineStr">
        <is>
          <t>Thẩm định hồ sơ năm của người có kỷ luật công vụ trong năm, điểm tổng 92.</t>
        </is>
      </c>
      <c r="H101" s="2" t="inlineStr">
        <is>
          <t>Xếp loại "Không hoàn thành nhiệm vụ" dù điểm 92; hiển thị điều kiện đã kích hoạt.</t>
        </is>
      </c>
      <c r="I101" s="2" t="inlineStr">
        <is>
          <t>tests đơn vị cùng mô-đun</t>
        </is>
      </c>
      <c r="J101" s="2" t="inlineStr">
        <is>
          <t>5/5 điều kiện đạt</t>
        </is>
      </c>
      <c r="K101" s="2" t="inlineStr">
        <is>
          <t>Đ</t>
        </is>
      </c>
      <c r="L101" s="2" t="inlineStr"/>
      <c r="M101" s="2" t="inlineStr">
        <is>
          <t>Evidence: evidence/UC-13/TC-13-04.json</t>
        </is>
      </c>
      <c r="N101" s="2" t="inlineStr">
        <is>
          <t>Claude (chạy tự động)</t>
        </is>
      </c>
      <c r="O101" s="2" t="inlineStr">
        <is>
          <t>2026-10-18</t>
        </is>
      </c>
    </row>
    <row r="102">
      <c r="A102" s="2" t="inlineStr">
        <is>
          <t>TC-13-05</t>
        </is>
      </c>
      <c r="B102" s="2" t="inlineStr">
        <is>
          <t>UC-13</t>
        </is>
      </c>
      <c r="C102" s="2" t="inlineStr">
        <is>
          <t>AC-13.3</t>
        </is>
      </c>
      <c r="D102" s="2" t="inlineStr">
        <is>
          <t>Chính</t>
        </is>
      </c>
      <c r="E102" s="2" t="inlineStr">
        <is>
          <t>P2</t>
        </is>
      </c>
      <c r="F102" s="2" t="inlineStr">
        <is>
          <t>phoban</t>
        </is>
      </c>
      <c r="G102" s="2" t="inlineStr">
        <is>
          <t>Hồ sơ năm lãnh đạo, đơn vị phụ trách hoàn thành dưới 70% việc trong năm.</t>
        </is>
      </c>
      <c r="H102" s="2" t="inlineStr">
        <is>
          <t>Xếp Không hoàn thành nhiệm vụ.</t>
        </is>
      </c>
      <c r="I102" s="2" t="inlineStr">
        <is>
          <t>tests đơn vị cùng mô-đun</t>
        </is>
      </c>
      <c r="J102" s="2" t="inlineStr">
        <is>
          <t>1/1 điều kiện đạt</t>
        </is>
      </c>
      <c r="K102" s="2" t="inlineStr">
        <is>
          <t>Đ</t>
        </is>
      </c>
      <c r="L102" s="2" t="inlineStr"/>
      <c r="M102" s="2" t="inlineStr">
        <is>
          <t>Evidence: evidence/UC-13/TC-13-05.json</t>
        </is>
      </c>
      <c r="N102" s="2" t="inlineStr">
        <is>
          <t>Claude (chạy tự động)</t>
        </is>
      </c>
      <c r="O102" s="2" t="inlineStr">
        <is>
          <t>2026-10-18</t>
        </is>
      </c>
    </row>
    <row r="103">
      <c r="A103" s="2" t="inlineStr">
        <is>
          <t>TC-13-06</t>
        </is>
      </c>
      <c r="B103" s="2" t="inlineStr">
        <is>
          <t>UC-13</t>
        </is>
      </c>
      <c r="C103" s="2" t="inlineStr">
        <is>
          <t>AC-13.3</t>
        </is>
      </c>
      <c r="D103" s="2" t="inlineStr">
        <is>
          <t>Chính</t>
        </is>
      </c>
      <c r="E103" s="2" t="inlineStr">
        <is>
          <t>P2</t>
        </is>
      </c>
      <c r="F103" s="2" t="inlineStr">
        <is>
          <t>phoban</t>
        </is>
      </c>
      <c r="G103" s="2" t="inlineStr">
        <is>
          <t>Hồ sơ năm người không giữ chức vụ, trên 50% việc trong năm chưa hoàn thành.</t>
        </is>
      </c>
      <c r="H103" s="2" t="inlineStr">
        <is>
          <t>Xếp Không hoàn thành nhiệm vụ.</t>
        </is>
      </c>
      <c r="I103" s="2" t="inlineStr">
        <is>
          <t>tests đơn vị cùng mô-đun</t>
        </is>
      </c>
      <c r="J103" s="2" t="inlineStr">
        <is>
          <t>2/2 điều kiện đạt</t>
        </is>
      </c>
      <c r="K103" s="2" t="inlineStr">
        <is>
          <t>Đ</t>
        </is>
      </c>
      <c r="L103" s="2" t="inlineStr"/>
      <c r="M103" s="2" t="inlineStr">
        <is>
          <t>Evidence: evidence/UC-13/TC-13-06.json</t>
        </is>
      </c>
      <c r="N103" s="2" t="inlineStr">
        <is>
          <t>Claude (chạy tự động)</t>
        </is>
      </c>
      <c r="O103" s="2" t="inlineStr">
        <is>
          <t>2026-10-18</t>
        </is>
      </c>
    </row>
    <row r="104">
      <c r="A104" s="2" t="inlineStr">
        <is>
          <t>TC-13-07</t>
        </is>
      </c>
      <c r="B104" s="2" t="inlineStr">
        <is>
          <t>UC-13</t>
        </is>
      </c>
      <c r="C104" s="2" t="inlineStr">
        <is>
          <t>AC-13.3</t>
        </is>
      </c>
      <c r="D104" s="2" t="inlineStr">
        <is>
          <t>Biên</t>
        </is>
      </c>
      <c r="E104" s="2" t="inlineStr">
        <is>
          <t>P2</t>
        </is>
      </c>
      <c r="F104" s="2" t="inlineStr">
        <is>
          <t>phoban</t>
        </is>
      </c>
      <c r="G104" s="2" t="inlineStr">
        <is>
          <t>Kỷ luật vì lý do khác (không phải công vụ, suy thoái).</t>
        </is>
      </c>
      <c r="H104" s="2" t="inlineStr">
        <is>
          <t>Không kích hoạt điều kiện.</t>
        </is>
      </c>
      <c r="I104" s="2" t="inlineStr">
        <is>
          <t>tests đơn vị cùng mô-đun</t>
        </is>
      </c>
      <c r="J104" s="2" t="inlineStr">
        <is>
          <t>1/1 điều kiện đạt</t>
        </is>
      </c>
      <c r="K104" s="2" t="inlineStr">
        <is>
          <t>Đ</t>
        </is>
      </c>
      <c r="L104" s="2" t="inlineStr"/>
      <c r="M104" s="2" t="inlineStr">
        <is>
          <t>Evidence: evidence/UC-13/TC-13-07.json</t>
        </is>
      </c>
      <c r="N104" s="2" t="inlineStr">
        <is>
          <t>Claude (chạy tự động)</t>
        </is>
      </c>
      <c r="O104" s="2" t="inlineStr">
        <is>
          <t>2026-10-18</t>
        </is>
      </c>
    </row>
    <row r="105">
      <c r="A105" s="2" t="inlineStr">
        <is>
          <t>TC-13-08</t>
        </is>
      </c>
      <c r="B105" s="2" t="inlineStr">
        <is>
          <t>UC-13</t>
        </is>
      </c>
      <c r="C105" s="2" t="inlineStr">
        <is>
          <t>AC-13.4</t>
        </is>
      </c>
      <c r="D105" s="2" t="inlineStr">
        <is>
          <t>Chính</t>
        </is>
      </c>
      <c r="E105" s="2" t="inlineStr">
        <is>
          <t>P1</t>
        </is>
      </c>
      <c r="F105" s="2" t="inlineStr">
        <is>
          <t>truongban</t>
        </is>
      </c>
      <c r="G105" s="2" t="inlineStr">
        <is>
          <t>Phê duyệt hồ sơ TC-13-04, chọn ngoại lệ "tự giác nhận lỗi và đã khắc phục", nêu căn cứ.</t>
        </is>
      </c>
      <c r="H105" s="2" t="inlineStr">
        <is>
          <t>Hồ sơ về mức theo điểm (Xuất sắc/Hoàn thành tốt theo điểm 92); ngoại lệ và căn cứ lưu trong hồ sơ; có nhật ký.</t>
        </is>
      </c>
      <c r="I105" s="2" t="inlineStr">
        <is>
          <t>tests đơn vị cùng mô-đun</t>
        </is>
      </c>
      <c r="J105" s="2" t="inlineStr">
        <is>
          <t>4/4 điều kiện đạt</t>
        </is>
      </c>
      <c r="K105" s="2" t="inlineStr">
        <is>
          <t>Đ</t>
        </is>
      </c>
      <c r="L105" s="2" t="inlineStr"/>
      <c r="M105" s="2" t="inlineStr">
        <is>
          <t>Evidence: evidence/UC-13/TC-13-08.json</t>
        </is>
      </c>
      <c r="N105" s="2" t="inlineStr">
        <is>
          <t>Claude (chạy tự động)</t>
        </is>
      </c>
      <c r="O105" s="2" t="inlineStr">
        <is>
          <t>2026-10-18</t>
        </is>
      </c>
    </row>
    <row r="106">
      <c r="A106" s="2" t="inlineStr">
        <is>
          <t>TC-13-09</t>
        </is>
      </c>
      <c r="B106" s="2" t="inlineStr">
        <is>
          <t>UC-13</t>
        </is>
      </c>
      <c r="C106" s="2" t="inlineStr">
        <is>
          <t>AC-13.4</t>
        </is>
      </c>
      <c r="D106" s="2" t="inlineStr">
        <is>
          <t>Âm</t>
        </is>
      </c>
      <c r="E106" s="2" t="inlineStr">
        <is>
          <t>P1</t>
        </is>
      </c>
      <c r="F106" s="2" t="inlineStr">
        <is>
          <t>truongban</t>
        </is>
      </c>
      <c r="G106" s="2" t="inlineStr">
        <is>
          <t>Phê duyệt chọn ngoại lệ nhưng bỏ trống căn cứ.</t>
        </is>
      </c>
      <c r="H106" s="2" t="inlineStr">
        <is>
          <t>Bị từ chối.</t>
        </is>
      </c>
      <c r="I106" s="2" t="inlineStr">
        <is>
          <t>tests đơn vị cùng mô-đun</t>
        </is>
      </c>
      <c r="J106" s="2" t="inlineStr">
        <is>
          <t>2/2 điều kiện đạt</t>
        </is>
      </c>
      <c r="K106" s="2" t="inlineStr">
        <is>
          <t>Đ</t>
        </is>
      </c>
      <c r="L106" s="2" t="inlineStr"/>
      <c r="M106" s="2" t="inlineStr">
        <is>
          <t>Evidence: evidence/UC-13/TC-13-09.json</t>
        </is>
      </c>
      <c r="N106" s="2" t="inlineStr">
        <is>
          <t>Claude (chạy tự động)</t>
        </is>
      </c>
      <c r="O106" s="2" t="inlineStr">
        <is>
          <t>2026-10-18</t>
        </is>
      </c>
    </row>
    <row r="107">
      <c r="A107" s="2" t="inlineStr">
        <is>
          <t>TC-13-10</t>
        </is>
      </c>
      <c r="B107" s="2" t="inlineStr">
        <is>
          <t>UC-13</t>
        </is>
      </c>
      <c r="C107" s="2" t="inlineStr">
        <is>
          <t>AC-13.4</t>
        </is>
      </c>
      <c r="D107" s="2" t="inlineStr">
        <is>
          <t>Chính</t>
        </is>
      </c>
      <c r="E107" s="2" t="inlineStr">
        <is>
          <t>P2</t>
        </is>
      </c>
      <c r="F107" s="2" t="inlineStr">
        <is>
          <t>truongban</t>
        </is>
      </c>
      <c r="G107" s="2" t="inlineStr">
        <is>
          <t>Phê duyệt không chọn ngoại lệ.</t>
        </is>
      </c>
      <c r="H107" s="2" t="inlineStr">
        <is>
          <t>Giữ "Không hoàn thành nhiệm vụ".</t>
        </is>
      </c>
      <c r="I107" s="2" t="inlineStr">
        <is>
          <t>tests đơn vị cùng mô-đun</t>
        </is>
      </c>
      <c r="J107" s="2" t="inlineStr">
        <is>
          <t>1/1 điều kiện đạt</t>
        </is>
      </c>
      <c r="K107" s="2" t="inlineStr">
        <is>
          <t>Đ</t>
        </is>
      </c>
      <c r="L107" s="2" t="inlineStr"/>
      <c r="M107" s="2" t="inlineStr">
        <is>
          <t>Evidence: evidence/UC-13/TC-13-10.json</t>
        </is>
      </c>
      <c r="N107" s="2" t="inlineStr">
        <is>
          <t>Claude (chạy tự động)</t>
        </is>
      </c>
      <c r="O107" s="2" t="inlineStr">
        <is>
          <t>2026-10-18</t>
        </is>
      </c>
    </row>
    <row r="108">
      <c r="A108" s="2" t="inlineStr">
        <is>
          <t>TC-13-11</t>
        </is>
      </c>
      <c r="B108" s="2" t="inlineStr">
        <is>
          <t>UC-13</t>
        </is>
      </c>
      <c r="C108" s="2" t="inlineStr">
        <is>
          <t>AC-13.5</t>
        </is>
      </c>
      <c r="D108" s="2" t="inlineStr">
        <is>
          <t>Âm</t>
        </is>
      </c>
      <c r="E108" s="2" t="inlineStr">
        <is>
          <t>P2</t>
        </is>
      </c>
      <c r="F108" s="2" t="inlineStr">
        <is>
          <t>truongban</t>
        </is>
      </c>
      <c r="G108" s="2" t="inlineStr">
        <is>
          <t>Phê duyệt hồ sơ không có điều kiện, cố gửi ngoại lệ qua API.</t>
        </is>
      </c>
      <c r="H108" s="2" t="inlineStr">
        <is>
          <t>Bị từ chối.</t>
        </is>
      </c>
      <c r="I108" s="2" t="inlineStr">
        <is>
          <t>tests đơn vị cùng mô-đun</t>
        </is>
      </c>
      <c r="J108" s="2" t="inlineStr">
        <is>
          <t>1/1 điều kiện đạt</t>
        </is>
      </c>
      <c r="K108" s="2" t="inlineStr">
        <is>
          <t>Đ</t>
        </is>
      </c>
      <c r="L108" s="2" t="inlineStr"/>
      <c r="M108" s="2" t="inlineStr">
        <is>
          <t>Evidence: evidence/UC-13/TC-13-11.json</t>
        </is>
      </c>
      <c r="N108" s="2" t="inlineStr">
        <is>
          <t>Claude (chạy tự động)</t>
        </is>
      </c>
      <c r="O108" s="2" t="inlineStr">
        <is>
          <t>2026-10-18</t>
        </is>
      </c>
    </row>
    <row r="109">
      <c r="A109" s="2" t="inlineStr">
        <is>
          <t>TC-13-12</t>
        </is>
      </c>
      <c r="B109" s="2" t="inlineStr">
        <is>
          <t>UC-13</t>
        </is>
      </c>
      <c r="C109" s="2" t="inlineStr">
        <is>
          <t>AC-13.6</t>
        </is>
      </c>
      <c r="D109" s="2" t="inlineStr">
        <is>
          <t>Âm</t>
        </is>
      </c>
      <c r="E109" s="2" t="inlineStr">
        <is>
          <t>P1</t>
        </is>
      </c>
      <c r="F109" s="2" t="inlineStr">
        <is>
          <t>chuyenvien</t>
        </is>
      </c>
      <c r="G109" s="2" t="inlineStr">
        <is>
          <t>Xem sự kiện kỷ luật của cán bộ khác.</t>
        </is>
      </c>
      <c r="H109" s="2" t="inlineStr">
        <is>
          <t>Không xem được (403).</t>
        </is>
      </c>
      <c r="I109" s="2" t="inlineStr">
        <is>
          <t>app.e2e-spec.ts</t>
        </is>
      </c>
      <c r="J109" s="2" t="inlineStr">
        <is>
          <t>2/2 điều kiện đạt</t>
        </is>
      </c>
      <c r="K109" s="2" t="inlineStr">
        <is>
          <t>Đ</t>
        </is>
      </c>
      <c r="L109" s="2" t="inlineStr"/>
      <c r="M109" s="2" t="inlineStr">
        <is>
          <t>Evidence: evidence/UC-13/TC-13-12.json</t>
        </is>
      </c>
      <c r="N109" s="2" t="inlineStr">
        <is>
          <t>Claude (chạy tự động)</t>
        </is>
      </c>
      <c r="O109" s="2" t="inlineStr">
        <is>
          <t>2026-10-18</t>
        </is>
      </c>
    </row>
    <row r="110">
      <c r="A110" s="2" t="inlineStr">
        <is>
          <t>TC-13-13</t>
        </is>
      </c>
      <c r="B110" s="2" t="inlineStr">
        <is>
          <t>UC-13</t>
        </is>
      </c>
      <c r="C110" s="2" t="inlineStr">
        <is>
          <t>AC-13.1</t>
        </is>
      </c>
      <c r="D110" s="2" t="inlineStr">
        <is>
          <t>Chính</t>
        </is>
      </c>
      <c r="E110" s="2" t="inlineStr">
        <is>
          <t>P3</t>
        </is>
      </c>
      <c r="F110" s="2" t="inlineStr">
        <is>
          <t>vanphong</t>
        </is>
      </c>
      <c r="G110" s="2" t="inlineStr">
        <is>
          <t>Xóa bản ghi sự kiện nhập nhầm.</t>
        </is>
      </c>
      <c r="H110" s="2" t="inlineStr">
        <is>
          <t>Xóa được; có nhật ký; khóa mục tiêu chí chung được gỡ.</t>
        </is>
      </c>
      <c r="I110" s="2" t="inlineStr">
        <is>
          <t>app.e2e-spec.ts</t>
        </is>
      </c>
      <c r="J110" s="2" t="inlineStr">
        <is>
          <t>5/5 điều kiện đạt</t>
        </is>
      </c>
      <c r="K110" s="2" t="inlineStr">
        <is>
          <t>Đ</t>
        </is>
      </c>
      <c r="L110" s="2" t="inlineStr"/>
      <c r="M110" s="2" t="inlineStr">
        <is>
          <t>Evidence: evidence/UC-13/TC-13-13.json</t>
        </is>
      </c>
      <c r="N110" s="2" t="inlineStr">
        <is>
          <t>Claude (chạy tự động)</t>
        </is>
      </c>
      <c r="O110" s="2" t="inlineStr">
        <is>
          <t>2026-10-18</t>
        </is>
      </c>
    </row>
    <row r="111">
      <c r="A111" s="2" t="inlineStr">
        <is>
          <t>TC-14-01</t>
        </is>
      </c>
      <c r="B111" s="2" t="inlineStr">
        <is>
          <t>UC-14</t>
        </is>
      </c>
      <c r="C111" s="2" t="inlineStr">
        <is>
          <t>AC-14.1, AC-14.2, AC-14.4</t>
        </is>
      </c>
      <c r="D111" s="2" t="inlineStr">
        <is>
          <t>Chính</t>
        </is>
      </c>
      <c r="E111" s="2" t="inlineStr">
        <is>
          <t>P1</t>
        </is>
      </c>
      <c r="F111" s="2" t="inlineStr">
        <is>
          <t>phoban</t>
        </is>
      </c>
      <c r="G111" s="2" t="inlineStr">
        <is>
          <t>Mở hồ sơ người điểm 92; mở "Hạn mức xuất sắc" ở trang kỳ.</t>
        </is>
      </c>
      <c r="H111" s="2" t="inlineStr">
        <is>
          <t>Nhóm 14 người: 4 xuất sắc, 10 tốt; tối đa **2** xuất sắc (20%); thứ hạng 1, 2 Trong hạn mức; hạng 3, 4 Ngoài hạn mức; thẻ cảnh báo trên hồ sơ nêu "thứ 3/4".</t>
        </is>
      </c>
      <c r="I111" s="2" t="inlineStr">
        <is>
          <t>excellent-quota.spec.ts</t>
        </is>
      </c>
      <c r="J111" s="2" t="inlineStr">
        <is>
          <t>6/6 điều kiện đạt</t>
        </is>
      </c>
      <c r="K111" s="2" t="inlineStr">
        <is>
          <t>Đ</t>
        </is>
      </c>
      <c r="L111" s="2" t="inlineStr"/>
      <c r="M111" s="2" t="inlineStr">
        <is>
          <t>Evidence: evidence/UC-14/TC-14-01.json</t>
        </is>
      </c>
      <c r="N111" s="2" t="inlineStr">
        <is>
          <t>Claude (chạy tự động)</t>
        </is>
      </c>
      <c r="O111" s="2" t="inlineStr">
        <is>
          <t>2026-10-18</t>
        </is>
      </c>
    </row>
    <row r="112">
      <c r="A112" s="2" t="inlineStr">
        <is>
          <t>TC-14-02</t>
        </is>
      </c>
      <c r="B112" s="2" t="inlineStr">
        <is>
          <t>UC-14</t>
        </is>
      </c>
      <c r="C112" s="2" t="inlineStr">
        <is>
          <t>AC-14.5</t>
        </is>
      </c>
      <c r="D112" s="2" t="inlineStr">
        <is>
          <t>Chính</t>
        </is>
      </c>
      <c r="E112" s="2" t="inlineStr">
        <is>
          <t>P1</t>
        </is>
      </c>
      <c r="F112" s="2" t="inlineStr">
        <is>
          <t>phoban</t>
        </is>
      </c>
      <c r="G112" s="2" t="inlineStr">
        <is>
          <t>Phê duyệt hồ sơ điểm 92 (ngoài hạn mức).</t>
        </is>
      </c>
      <c r="H112" s="2" t="inlineStr">
        <is>
          <t>Phê duyệt được, xếp loại không bị hạ tự động.</t>
        </is>
      </c>
      <c r="I112" s="2" t="inlineStr">
        <is>
          <t>app.e2e-spec.ts</t>
        </is>
      </c>
      <c r="J112" s="2" t="inlineStr">
        <is>
          <t>3/3 điều kiện đạt</t>
        </is>
      </c>
      <c r="K112" s="2" t="inlineStr">
        <is>
          <t>Đ</t>
        </is>
      </c>
      <c r="L112" s="2" t="inlineStr"/>
      <c r="M112" s="2" t="inlineStr">
        <is>
          <t>Evidence: evidence/UC-14/TC-14-02.json</t>
        </is>
      </c>
      <c r="N112" s="2" t="inlineStr">
        <is>
          <t>Claude (chạy tự động)</t>
        </is>
      </c>
      <c r="O112" s="2" t="inlineStr">
        <is>
          <t>2026-10-18</t>
        </is>
      </c>
    </row>
    <row r="113">
      <c r="A113" s="2" t="inlineStr">
        <is>
          <t>TC-14-03</t>
        </is>
      </c>
      <c r="B113" s="2" t="inlineStr">
        <is>
          <t>UC-14</t>
        </is>
      </c>
      <c r="C113" s="2" t="inlineStr">
        <is>
          <t>AC-14.3</t>
        </is>
      </c>
      <c r="D113" s="2" t="inlineStr">
        <is>
          <t>Biên</t>
        </is>
      </c>
      <c r="E113" s="2" t="inlineStr">
        <is>
          <t>P2</t>
        </is>
      </c>
      <c r="F113" s="2" t="inlineStr">
        <is>
          <t>phoban</t>
        </is>
      </c>
      <c r="G113" s="2" t="inlineStr">
        <is>
          <t>Nhóm 3 người: 2 xuất sắc, 1 hoàn thành tốt.</t>
        </is>
      </c>
      <c r="H113" s="2" t="inlineStr">
        <is>
          <t>Cho 1 người xuất sắc (nhóm ≤ 5 người); người điểm cao nhất trong hạn mức, người còn lại ngoài.</t>
        </is>
      </c>
      <c r="I113" s="2" t="inlineStr">
        <is>
          <t>tests đơn vị cùng mô-đun</t>
        </is>
      </c>
      <c r="J113" s="2" t="inlineStr">
        <is>
          <t>1/1 điều kiện đạt</t>
        </is>
      </c>
      <c r="K113" s="2" t="inlineStr">
        <is>
          <t>Đ</t>
        </is>
      </c>
      <c r="L113" s="2" t="inlineStr"/>
      <c r="M113" s="2" t="inlineStr">
        <is>
          <t>Evidence: evidence/UC-14/TC-14-03.json</t>
        </is>
      </c>
      <c r="N113" s="2" t="inlineStr">
        <is>
          <t>Claude (chạy tự động)</t>
        </is>
      </c>
      <c r="O113" s="2" t="inlineStr">
        <is>
          <t>2026-10-18</t>
        </is>
      </c>
    </row>
    <row r="114">
      <c r="A114" s="2" t="inlineStr">
        <is>
          <t>TC-14-04</t>
        </is>
      </c>
      <c r="B114" s="2" t="inlineStr">
        <is>
          <t>UC-14</t>
        </is>
      </c>
      <c r="C114" s="2" t="inlineStr">
        <is>
          <t>AC-14.4</t>
        </is>
      </c>
      <c r="D114" s="2" t="inlineStr">
        <is>
          <t>Biên</t>
        </is>
      </c>
      <c r="E114" s="2" t="inlineStr">
        <is>
          <t>P2</t>
        </is>
      </c>
      <c r="F114" s="2" t="inlineStr">
        <is>
          <t>phoban</t>
        </is>
      </c>
      <c r="G114" s="2" t="inlineStr">
        <is>
          <t>Hai người bằng điểm 92 ở ranh giới.</t>
        </is>
      </c>
      <c r="H114" s="2" t="inlineStr">
        <is>
          <t>Cả hai được đánh dấu "Bằng điểm ranh giới" để cấp có thẩm quyền xem xét.</t>
        </is>
      </c>
      <c r="I114" s="2" t="inlineStr">
        <is>
          <t>tests đơn vị cùng mô-đun</t>
        </is>
      </c>
      <c r="J114" s="2" t="inlineStr">
        <is>
          <t>1/1 điều kiện đạt</t>
        </is>
      </c>
      <c r="K114" s="2" t="inlineStr">
        <is>
          <t>Đ</t>
        </is>
      </c>
      <c r="L114" s="2" t="inlineStr"/>
      <c r="M114" s="2" t="inlineStr">
        <is>
          <t>Evidence: evidence/UC-14/TC-14-04.json</t>
        </is>
      </c>
      <c r="N114" s="2" t="inlineStr">
        <is>
          <t>Claude (chạy tự động)</t>
        </is>
      </c>
      <c r="O114" s="2" t="inlineStr">
        <is>
          <t>2026-10-18</t>
        </is>
      </c>
    </row>
    <row r="115">
      <c r="A115" s="2" t="inlineStr">
        <is>
          <t>TC-14-05</t>
        </is>
      </c>
      <c r="B115" s="2" t="inlineStr">
        <is>
          <t>UC-14</t>
        </is>
      </c>
      <c r="C115" s="2" t="inlineStr">
        <is>
          <t>AC-14.2</t>
        </is>
      </c>
      <c r="D115" s="2" t="inlineStr">
        <is>
          <t>Chính</t>
        </is>
      </c>
      <c r="E115" s="2" t="inlineStr">
        <is>
          <t>P3</t>
        </is>
      </c>
      <c r="F115" s="2" t="inlineStr">
        <is>
          <t>phoban</t>
        </is>
      </c>
      <c r="G115" s="2" t="inlineStr">
        <is>
          <t>Nhóm 16 tốt và 4 xuất sắc.</t>
        </is>
      </c>
      <c r="H115" s="2" t="inlineStr">
        <is>
          <t>Mức 20% cho tối đa 3; mức 25% (đơn vị nổi trội) cho tối đa 4, hiển thị riêng.</t>
        </is>
      </c>
      <c r="I115" s="2" t="inlineStr">
        <is>
          <t>tests đơn vị cùng mô-đun</t>
        </is>
      </c>
      <c r="J115" s="2" t="inlineStr">
        <is>
          <t>1/1 điều kiện đạt</t>
        </is>
      </c>
      <c r="K115" s="2" t="inlineStr">
        <is>
          <t>Đ</t>
        </is>
      </c>
      <c r="L115" s="2" t="inlineStr"/>
      <c r="M115" s="2" t="inlineStr">
        <is>
          <t>Evidence: evidence/UC-14/TC-14-05.json</t>
        </is>
      </c>
      <c r="N115" s="2" t="inlineStr">
        <is>
          <t>Claude (chạy tự động)</t>
        </is>
      </c>
      <c r="O115" s="2" t="inlineStr">
        <is>
          <t>2026-10-18</t>
        </is>
      </c>
    </row>
    <row r="116">
      <c r="A116" s="2" t="inlineStr">
        <is>
          <t>TC-14-06</t>
        </is>
      </c>
      <c r="B116" s="2" t="inlineStr">
        <is>
          <t>UC-14</t>
        </is>
      </c>
      <c r="C116" s="2" t="inlineStr">
        <is>
          <t>AC-14.1</t>
        </is>
      </c>
      <c r="D116" s="2" t="inlineStr">
        <is>
          <t>Biên</t>
        </is>
      </c>
      <c r="E116" s="2" t="inlineStr">
        <is>
          <t>P2</t>
        </is>
      </c>
      <c r="F116" s="2" t="inlineStr">
        <is>
          <t>phoban</t>
        </is>
      </c>
      <c r="G116" s="2" t="inlineStr">
        <is>
          <t>Hai hồ sơ cùng phòng nhưng khác loại (lãnh đạo, chuyên viên).</t>
        </is>
      </c>
      <c r="H116" s="2" t="inlineStr">
        <is>
          <t>Hai nhóm tính riêng.</t>
        </is>
      </c>
      <c r="I116" s="2" t="inlineStr">
        <is>
          <t>tests đơn vị cùng mô-đun</t>
        </is>
      </c>
      <c r="J116" s="2" t="inlineStr">
        <is>
          <t>1/1 điều kiện đạt</t>
        </is>
      </c>
      <c r="K116" s="2" t="inlineStr">
        <is>
          <t>Đ</t>
        </is>
      </c>
      <c r="L116" s="2" t="inlineStr"/>
      <c r="M116" s="2" t="inlineStr">
        <is>
          <t>Evidence: evidence/UC-14/TC-14-06.json</t>
        </is>
      </c>
      <c r="N116" s="2" t="inlineStr">
        <is>
          <t>Claude (chạy tự động)</t>
        </is>
      </c>
      <c r="O116" s="2" t="inlineStr">
        <is>
          <t>2026-10-18</t>
        </is>
      </c>
    </row>
    <row r="117">
      <c r="A117" s="2" t="inlineStr">
        <is>
          <t>TC-14-07</t>
        </is>
      </c>
      <c r="B117" s="2" t="inlineStr">
        <is>
          <t>UC-14</t>
        </is>
      </c>
      <c r="C117" s="2" t="inlineStr">
        <is>
          <t>AC-14.6</t>
        </is>
      </c>
      <c r="D117" s="2" t="inlineStr">
        <is>
          <t>Chính</t>
        </is>
      </c>
      <c r="E117" s="2" t="inlineStr">
        <is>
          <t>P2</t>
        </is>
      </c>
      <c r="F117" s="2" t="inlineStr">
        <is>
          <t>phoban</t>
        </is>
      </c>
      <c r="G117" s="2" t="inlineStr">
        <is>
          <t>Hồ sơ Xuất sắc chờ phê duyệt ngoài hạn mức.</t>
        </is>
      </c>
      <c r="H117" s="2" t="inlineStr">
        <is>
          <t>Trang hồ sơ có cảnh báo cho người phê duyệt; người không phải duyệt không thấy khối thừa.</t>
        </is>
      </c>
      <c r="I117" s="2" t="inlineStr">
        <is>
          <t>app.e2e-spec.ts</t>
        </is>
      </c>
      <c r="J117" s="2" t="inlineStr">
        <is>
          <t>4/4 điều kiện đạt (chạy lại sau khi sửa LOI-01)</t>
        </is>
      </c>
      <c r="K117" s="2" t="inlineStr">
        <is>
          <t>Đ</t>
        </is>
      </c>
      <c r="L117" s="2" t="inlineStr">
        <is>
          <t>LOI-01 (đã sửa)</t>
        </is>
      </c>
      <c r="M117" s="2" t="inlineStr">
        <is>
          <t>Evidence: evidence/UC-14/TC-14-07.json</t>
        </is>
      </c>
      <c r="N117" s="2" t="inlineStr">
        <is>
          <t>Claude (chạy tự động)</t>
        </is>
      </c>
      <c r="O117" s="2" t="inlineStr">
        <is>
          <t>2026-10-18</t>
        </is>
      </c>
    </row>
    <row r="118">
      <c r="A118" s="2" t="inlineStr">
        <is>
          <t>TC-15-01</t>
        </is>
      </c>
      <c r="B118" s="2" t="inlineStr">
        <is>
          <t>UC-15</t>
        </is>
      </c>
      <c r="C118" s="2" t="inlineStr">
        <is>
          <t>AC-15.1</t>
        </is>
      </c>
      <c r="D118" s="2" t="inlineStr">
        <is>
          <t>Chính</t>
        </is>
      </c>
      <c r="E118" s="2" t="inlineStr">
        <is>
          <t>P1</t>
        </is>
      </c>
      <c r="F118" s="2" t="inlineStr">
        <is>
          <t>truongphong</t>
        </is>
      </c>
      <c r="G118" s="2" t="inlineStr">
        <is>
          <t>Cán bộ có 6 tháng đã duyệt: 80, 82, 84, 86, 88, 90. Mở hồ sơ năm.</t>
        </is>
      </c>
      <c r="H118" s="2" t="inlineStr">
        <is>
          <t>Điểm trung bình 85,00 hiển thị; bảng quý I (82,00), quý II (88,00), 6 tháng đầu năm (85,00) để đối chiếu.</t>
        </is>
      </c>
      <c r="I118" s="2" t="inlineStr">
        <is>
          <t>tests đơn vị cùng mô-đun</t>
        </is>
      </c>
      <c r="J118" s="2" t="inlineStr">
        <is>
          <t>3/3 điều kiện đạt</t>
        </is>
      </c>
      <c r="K118" s="2" t="inlineStr">
        <is>
          <t>Đ</t>
        </is>
      </c>
      <c r="L118" s="2" t="inlineStr"/>
      <c r="M118" s="2" t="inlineStr">
        <is>
          <t>Evidence: evidence/UC-15/TC-15-01.json | Lệch ví dụ: TC ghi điểm 80, 82, 84, 86, 88, 90; dữ liệu thử dùng các điểm đạt được bằng bảng tiêu chí (bội số 2,5) nhưng trung bình vẫn 85,00.</t>
        </is>
      </c>
      <c r="N118" s="2" t="inlineStr">
        <is>
          <t>Claude (chạy tự động)</t>
        </is>
      </c>
      <c r="O118" s="2" t="inlineStr">
        <is>
          <t>2026-10-18</t>
        </is>
      </c>
    </row>
    <row r="119">
      <c r="A119" s="2" t="inlineStr">
        <is>
          <t>TC-15-02</t>
        </is>
      </c>
      <c r="B119" s="2" t="inlineStr">
        <is>
          <t>UC-15</t>
        </is>
      </c>
      <c r="C119" s="2" t="inlineStr">
        <is>
          <t>AC-15.2</t>
        </is>
      </c>
      <c r="D119" s="2" t="inlineStr">
        <is>
          <t>Biên</t>
        </is>
      </c>
      <c r="E119" s="2" t="inlineStr">
        <is>
          <t>P1</t>
        </is>
      </c>
      <c r="F119" s="2" t="inlineStr">
        <is>
          <t>truongphong</t>
        </is>
      </c>
      <c r="G119" s="2" t="inlineStr">
        <is>
          <t>Cán bộ chỉ có 5 tháng đã duyệt, không nghỉ; thẩm định năm.</t>
        </is>
      </c>
      <c r="H119" s="2" t="inlineStr">
        <is>
          <t>Chặn: chưa đủ 6 tháng; chỉ được đóng "không xếp loại".</t>
        </is>
      </c>
      <c r="I119" s="2" t="inlineStr">
        <is>
          <t>tests đơn vị cùng mô-đun</t>
        </is>
      </c>
      <c r="J119" s="2" t="inlineStr">
        <is>
          <t>4/4 điều kiện đạt</t>
        </is>
      </c>
      <c r="K119" s="2" t="inlineStr">
        <is>
          <t>Đ</t>
        </is>
      </c>
      <c r="L119" s="2" t="inlineStr"/>
      <c r="M119" s="2" t="inlineStr">
        <is>
          <t>Evidence: evidence/UC-15/TC-15-02.json</t>
        </is>
      </c>
      <c r="N119" s="2" t="inlineStr">
        <is>
          <t>Claude (chạy tự động)</t>
        </is>
      </c>
      <c r="O119" s="2" t="inlineStr">
        <is>
          <t>2026-10-18</t>
        </is>
      </c>
    </row>
    <row r="120">
      <c r="A120" s="2" t="inlineStr">
        <is>
          <t>TC-15-03</t>
        </is>
      </c>
      <c r="B120" s="2" t="inlineStr">
        <is>
          <t>UC-15</t>
        </is>
      </c>
      <c r="C120" s="2" t="inlineStr">
        <is>
          <t>AC-15.2</t>
        </is>
      </c>
      <c r="D120" s="2" t="inlineStr">
        <is>
          <t>Biên</t>
        </is>
      </c>
      <c r="E120" s="2" t="inlineStr">
        <is>
          <t>P1</t>
        </is>
      </c>
      <c r="F120" s="2" t="inlineStr">
        <is>
          <t>vanphong, truongphong</t>
        </is>
      </c>
      <c r="G120" s="2" t="inlineStr">
        <is>
          <t>Ghi nghỉ ốm 1 tháng (căn cứ số quyết định) cho cán bộ ở TC-15-02.</t>
        </is>
      </c>
      <c r="H120" s="2" t="inlineStr">
        <is>
          <t>5 + 1 = 6 tháng: đủ điều kiện; điểm năm chỉ chia cho 5 tháng đã duyệt.</t>
        </is>
      </c>
      <c r="I120" s="2" t="inlineStr">
        <is>
          <t>tests đơn vị cùng mô-đun</t>
        </is>
      </c>
      <c r="J120" s="2" t="inlineStr">
        <is>
          <t>5/5 điều kiện đạt</t>
        </is>
      </c>
      <c r="K120" s="2" t="inlineStr">
        <is>
          <t>Đ</t>
        </is>
      </c>
      <c r="L120" s="2" t="inlineStr"/>
      <c r="M120" s="2" t="inlineStr">
        <is>
          <t>Evidence: evidence/UC-15/TC-15-03.json</t>
        </is>
      </c>
      <c r="N120" s="2" t="inlineStr">
        <is>
          <t>Claude (chạy tự động)</t>
        </is>
      </c>
      <c r="O120" s="2" t="inlineStr">
        <is>
          <t>2026-10-18</t>
        </is>
      </c>
    </row>
    <row r="121">
      <c r="A121" s="2" t="inlineStr">
        <is>
          <t>TC-15-04</t>
        </is>
      </c>
      <c r="B121" s="2" t="inlineStr">
        <is>
          <t>UC-15</t>
        </is>
      </c>
      <c r="C121" s="2" t="inlineStr">
        <is>
          <t>AC-15.3</t>
        </is>
      </c>
      <c r="D121" s="2" t="inlineStr">
        <is>
          <t>Âm</t>
        </is>
      </c>
      <c r="E121" s="2" t="inlineStr">
        <is>
          <t>P1</t>
        </is>
      </c>
      <c r="F121" s="2" t="inlineStr">
        <is>
          <t>vanphong</t>
        </is>
      </c>
      <c r="G121" s="2" t="inlineStr">
        <is>
          <t>Ghi nghỉ cho tháng đã có hồ sơ APPROVED.</t>
        </is>
      </c>
      <c r="H121" s="2" t="inlineStr">
        <is>
          <t>Bị từ chối 409.</t>
        </is>
      </c>
      <c r="I121" s="2" t="inlineStr">
        <is>
          <t>tests cùng mô-đun; app.e2e-spec.ts</t>
        </is>
      </c>
      <c r="J121" s="2" t="inlineStr">
        <is>
          <t>2/2 điều kiện đạt</t>
        </is>
      </c>
      <c r="K121" s="2" t="inlineStr">
        <is>
          <t>Đ</t>
        </is>
      </c>
      <c r="L121" s="2" t="inlineStr"/>
      <c r="M121" s="2" t="inlineStr">
        <is>
          <t>Evidence: evidence/UC-15/TC-15-04.json</t>
        </is>
      </c>
      <c r="N121" s="2" t="inlineStr">
        <is>
          <t>Claude (chạy tự động)</t>
        </is>
      </c>
      <c r="O121" s="2" t="inlineStr">
        <is>
          <t>2026-10-18</t>
        </is>
      </c>
    </row>
    <row r="122">
      <c r="A122" s="2" t="inlineStr">
        <is>
          <t>TC-15-05</t>
        </is>
      </c>
      <c r="B122" s="2" t="inlineStr">
        <is>
          <t>UC-15</t>
        </is>
      </c>
      <c r="C122" s="2" t="inlineStr">
        <is>
          <t>AC-15.4</t>
        </is>
      </c>
      <c r="D122" s="2" t="inlineStr">
        <is>
          <t>Chính</t>
        </is>
      </c>
      <c r="E122" s="2" t="inlineStr">
        <is>
          <t>P1</t>
        </is>
      </c>
      <c r="F122" s="2" t="inlineStr">
        <is>
          <t>truongphong</t>
        </is>
      </c>
      <c r="G122" s="2" t="inlineStr">
        <is>
          <t>Cán bộ nghỉ 8 tháng (không đủ điều kiện): đóng "Không xếp loại" kèm lý do.</t>
        </is>
      </c>
      <c r="H122" s="2" t="inlineStr">
        <is>
          <t>Hồ sơ APPROVED, không điểm, không xếp loại, có lý do; khóa.</t>
        </is>
      </c>
      <c r="I122" s="2" t="inlineStr">
        <is>
          <t>app.e2e-spec.ts</t>
        </is>
      </c>
      <c r="J122" s="2" t="inlineStr">
        <is>
          <t>5/5 điều kiện đạt</t>
        </is>
      </c>
      <c r="K122" s="2" t="inlineStr">
        <is>
          <t>Đ</t>
        </is>
      </c>
      <c r="L122" s="2" t="inlineStr"/>
      <c r="M122" s="2" t="inlineStr">
        <is>
          <t>Evidence: evidence/UC-15/TC-15-05.json</t>
        </is>
      </c>
      <c r="N122" s="2" t="inlineStr">
        <is>
          <t>Claude (chạy tự động)</t>
        </is>
      </c>
      <c r="O122" s="2" t="inlineStr">
        <is>
          <t>2026-10-18</t>
        </is>
      </c>
    </row>
    <row r="123">
      <c r="A123" s="2" t="inlineStr">
        <is>
          <t>TC-15-06</t>
        </is>
      </c>
      <c r="B123" s="2" t="inlineStr">
        <is>
          <t>UC-15</t>
        </is>
      </c>
      <c r="C123" s="2" t="inlineStr">
        <is>
          <t>AC-15.4</t>
        </is>
      </c>
      <c r="D123" s="2" t="inlineStr">
        <is>
          <t>Âm</t>
        </is>
      </c>
      <c r="E123" s="2" t="inlineStr">
        <is>
          <t>P2</t>
        </is>
      </c>
      <c r="F123" s="2" t="inlineStr">
        <is>
          <t>truongphong</t>
        </is>
      </c>
      <c r="G123" s="2" t="inlineStr">
        <is>
          <t>Cố đóng "không xếp loại" cho cán bộ đủ tháng.</t>
        </is>
      </c>
      <c r="H123" s="2" t="inlineStr">
        <is>
          <t>Bị từ chối, hướng dẫn thẩm định thường.</t>
        </is>
      </c>
      <c r="I123" s="2" t="inlineStr">
        <is>
          <t>tests đơn vị cùng mô-đun</t>
        </is>
      </c>
      <c r="J123" s="2" t="inlineStr">
        <is>
          <t>2/2 điều kiện đạt</t>
        </is>
      </c>
      <c r="K123" s="2" t="inlineStr">
        <is>
          <t>Đ</t>
        </is>
      </c>
      <c r="L123" s="2" t="inlineStr"/>
      <c r="M123" s="2" t="inlineStr">
        <is>
          <t>Evidence: evidence/UC-15/TC-15-06.json</t>
        </is>
      </c>
      <c r="N123" s="2" t="inlineStr">
        <is>
          <t>Claude (chạy tự động)</t>
        </is>
      </c>
      <c r="O123" s="2" t="inlineStr">
        <is>
          <t>2026-10-18</t>
        </is>
      </c>
    </row>
    <row r="124">
      <c r="A124" s="2" t="inlineStr">
        <is>
          <t>TC-15-07</t>
        </is>
      </c>
      <c r="B124" s="2" t="inlineStr">
        <is>
          <t>UC-15</t>
        </is>
      </c>
      <c r="C124" s="2" t="inlineStr">
        <is>
          <t>AC-15.6</t>
        </is>
      </c>
      <c r="D124" s="2" t="inlineStr">
        <is>
          <t>Chính</t>
        </is>
      </c>
      <c r="E124" s="2" t="inlineStr">
        <is>
          <t>P2</t>
        </is>
      </c>
      <c r="F124" s="2" t="inlineStr">
        <is>
          <t>vanphong</t>
        </is>
      </c>
      <c r="G124" s="2" t="inlineStr">
        <is>
          <t>Xem báo cáo cá nhân sau TC-15-05.</t>
        </is>
      </c>
      <c r="H124" s="2" t="inlineStr">
        <is>
          <t>Hồ sơ không xếp loại không có trong số liệu điểm và phân bố xếp loại.</t>
        </is>
      </c>
      <c r="I124" s="2" t="inlineStr">
        <is>
          <t>app.e2e-spec.ts</t>
        </is>
      </c>
      <c r="J124" s="2" t="inlineStr">
        <is>
          <t>2/2 điều kiện đạt</t>
        </is>
      </c>
      <c r="K124" s="2" t="inlineStr">
        <is>
          <t>Đ</t>
        </is>
      </c>
      <c r="L124" s="2" t="inlineStr"/>
      <c r="M124" s="2" t="inlineStr">
        <is>
          <t>Evidence: evidence/UC-15/TC-15-07.json</t>
        </is>
      </c>
      <c r="N124" s="2" t="inlineStr">
        <is>
          <t>Claude (chạy tự động)</t>
        </is>
      </c>
      <c r="O124" s="2" t="inlineStr">
        <is>
          <t>2026-10-18</t>
        </is>
      </c>
    </row>
    <row r="125">
      <c r="A125" s="2" t="inlineStr">
        <is>
          <t>TC-15-08</t>
        </is>
      </c>
      <c r="B125" s="2" t="inlineStr">
        <is>
          <t>UC-15</t>
        </is>
      </c>
      <c r="C125" s="2" t="inlineStr">
        <is>
          <t>AC-15.3</t>
        </is>
      </c>
      <c r="D125" s="2" t="inlineStr">
        <is>
          <t>Âm</t>
        </is>
      </c>
      <c r="E125" s="2" t="inlineStr">
        <is>
          <t>P3</t>
        </is>
      </c>
      <c r="F125" s="2" t="inlineStr">
        <is>
          <t>vanphong</t>
        </is>
      </c>
      <c r="G125" s="2" t="inlineStr">
        <is>
          <t>Sửa nghỉ khi hồ sơ năm đã duyệt.</t>
        </is>
      </c>
      <c r="H125" s="2" t="inlineStr">
        <is>
          <t>Bị từ chối.</t>
        </is>
      </c>
      <c r="I125" s="2" t="inlineStr">
        <is>
          <t>tests đơn vị cùng mô-đun</t>
        </is>
      </c>
      <c r="J125" s="2" t="inlineStr">
        <is>
          <t>2/2 điều kiện đạt</t>
        </is>
      </c>
      <c r="K125" s="2" t="inlineStr">
        <is>
          <t>Đ</t>
        </is>
      </c>
      <c r="L125" s="2" t="inlineStr"/>
      <c r="M125" s="2" t="inlineStr">
        <is>
          <t>Evidence: evidence/UC-15/TC-15-08.json</t>
        </is>
      </c>
      <c r="N125" s="2" t="inlineStr">
        <is>
          <t>Claude (chạy tự động)</t>
        </is>
      </c>
      <c r="O125" s="2" t="inlineStr">
        <is>
          <t>2026-10-18</t>
        </is>
      </c>
    </row>
    <row r="126">
      <c r="A126" s="2" t="inlineStr">
        <is>
          <t>TC-15-09</t>
        </is>
      </c>
      <c r="B126" s="2" t="inlineStr">
        <is>
          <t>UC-15</t>
        </is>
      </c>
      <c r="C126" s="2" t="inlineStr">
        <is>
          <t>AC-15.5</t>
        </is>
      </c>
      <c r="D126" s="2" t="inlineStr">
        <is>
          <t>Chính</t>
        </is>
      </c>
      <c r="E126" s="2" t="inlineStr">
        <is>
          <t>P2</t>
        </is>
      </c>
      <c r="F126" s="2" t="inlineStr">
        <is>
          <t>truongphong</t>
        </is>
      </c>
      <c r="G126" s="2" t="inlineStr">
        <is>
          <t>Mở hồ sơ năm của cán bộ có quý II chỉ 2 tháng có điểm và 1 tháng nghỉ; quý III không có điểm.</t>
        </is>
      </c>
      <c r="H126" s="2" t="inlineStr">
        <is>
          <t>Bảng quý II hiện 2 tháng có điểm, 1 tháng nghỉ, đánh dấu "chưa đủ tháng", điểm trung bình trên tháng có điểm; quý III để trống; ghi chú bảng chỉ để đối chiếu, không thay hồ sơ quý chấm trực tiếp.</t>
        </is>
      </c>
      <c r="I126" s="2" t="inlineStr">
        <is>
          <t>year-average.spec.ts</t>
        </is>
      </c>
      <c r="J126" s="2" t="inlineStr">
        <is>
          <t>5/5 điều kiện đạt</t>
        </is>
      </c>
      <c r="K126" s="2" t="inlineStr">
        <is>
          <t>Đ</t>
        </is>
      </c>
      <c r="L126" s="2" t="inlineStr"/>
      <c r="M126" s="2" t="inlineStr">
        <is>
          <t>Evidence: evidence/UC-15/TC-15-09.json</t>
        </is>
      </c>
      <c r="N126" s="2" t="inlineStr">
        <is>
          <t>Claude (chạy tự động)</t>
        </is>
      </c>
      <c r="O126" s="2" t="inlineStr">
        <is>
          <t>2026-10-18</t>
        </is>
      </c>
    </row>
    <row r="127">
      <c r="A127" s="2" t="inlineStr">
        <is>
          <t>TC-16-01</t>
        </is>
      </c>
      <c r="B127" s="2" t="inlineStr">
        <is>
          <t>UC-16</t>
        </is>
      </c>
      <c r="C127" s="2" t="inlineStr">
        <is>
          <t>AC-16.1</t>
        </is>
      </c>
      <c r="D127" s="2" t="inlineStr">
        <is>
          <t>Chính</t>
        </is>
      </c>
      <c r="E127" s="2" t="inlineStr">
        <is>
          <t>P1</t>
        </is>
      </c>
      <c r="F127" s="2" t="inlineStr">
        <is>
          <t>truongphong</t>
        </is>
      </c>
      <c r="G127" s="2" t="inlineStr">
        <is>
          <t>Mở `/unit-evaluations`, kỳ năm; xem bộ trục của phòng.</t>
        </is>
      </c>
      <c r="H127" s="2" t="inlineStr">
        <is>
          <t>Hiển thị 30 điểm chung (C1–C6) và 70 điểm kết quả (KH 15, CS 5, DN 10, đặc thù 40).</t>
        </is>
      </c>
      <c r="I127" s="2" t="inlineStr">
        <is>
          <t>app.e2e-spec.ts</t>
        </is>
      </c>
      <c r="J127" s="2" t="inlineStr">
        <is>
          <t>6/6 điều kiện đạt</t>
        </is>
      </c>
      <c r="K127" s="2" t="inlineStr">
        <is>
          <t>Đ</t>
        </is>
      </c>
      <c r="L127" s="2" t="inlineStr"/>
      <c r="M127" s="2" t="inlineStr">
        <is>
          <t>Evidence: evidence/UC-16/TC-16-01.json</t>
        </is>
      </c>
      <c r="N127" s="2" t="inlineStr">
        <is>
          <t>Claude (chạy tự động)</t>
        </is>
      </c>
      <c r="O127" s="2" t="inlineStr">
        <is>
          <t>2026-10-18</t>
        </is>
      </c>
    </row>
    <row r="128">
      <c r="A128" s="2" t="inlineStr">
        <is>
          <t>TC-16-02</t>
        </is>
      </c>
      <c r="B128" s="2" t="inlineStr">
        <is>
          <t>UC-16</t>
        </is>
      </c>
      <c r="C128" s="2" t="inlineStr">
        <is>
          <t>AC-16.1</t>
        </is>
      </c>
      <c r="D128" s="2" t="inlineStr">
        <is>
          <t>Âm</t>
        </is>
      </c>
      <c r="E128" s="2" t="inlineStr">
        <is>
          <t>P2</t>
        </is>
      </c>
      <c r="F128" s="2" t="inlineStr">
        <is>
          <t>vanphong</t>
        </is>
      </c>
      <c r="G128" s="2" t="inlineStr">
        <is>
          <t>Sửa bộ trục để tổng nhóm bật là 29.</t>
        </is>
      </c>
      <c r="H128" s="2" t="inlineStr">
        <is>
          <t>Bị từ chối; tổng phải đúng 30 hoặc 70.</t>
        </is>
      </c>
      <c r="I128" s="2" t="inlineStr">
        <is>
          <t>tests đơn vị cùng mô-đun</t>
        </is>
      </c>
      <c r="J128" s="2" t="inlineStr">
        <is>
          <t>3/3 điều kiện đạt</t>
        </is>
      </c>
      <c r="K128" s="2" t="inlineStr">
        <is>
          <t>Đ</t>
        </is>
      </c>
      <c r="L128" s="2" t="inlineStr"/>
      <c r="M128" s="2" t="inlineStr">
        <is>
          <t>Evidence: evidence/UC-16/TC-16-02.json</t>
        </is>
      </c>
      <c r="N128" s="2" t="inlineStr">
        <is>
          <t>Claude (chạy tự động)</t>
        </is>
      </c>
      <c r="O128" s="2" t="inlineStr">
        <is>
          <t>2026-10-18</t>
        </is>
      </c>
    </row>
    <row r="129">
      <c r="A129" s="2" t="inlineStr">
        <is>
          <t>TC-16-03</t>
        </is>
      </c>
      <c r="B129" s="2" t="inlineStr">
        <is>
          <t>UC-16</t>
        </is>
      </c>
      <c r="C129" s="2" t="inlineStr">
        <is>
          <t>AC-16.2</t>
        </is>
      </c>
      <c r="D129" s="2" t="inlineStr">
        <is>
          <t>Chính</t>
        </is>
      </c>
      <c r="E129" s="2" t="inlineStr">
        <is>
          <t>P1</t>
        </is>
      </c>
      <c r="F129" s="2" t="inlineStr">
        <is>
          <t>phoban, truongban</t>
        </is>
      </c>
      <c r="G129" s="2" t="inlineStr">
        <is>
          <t>Thẩm định, phê duyệt hồ sơ phòng trước, sau đó hồ sơ Ban.</t>
        </is>
      </c>
      <c r="H129" s="2" t="inlineStr">
        <is>
          <t>Hồ sơ phòng xong trước; hồ sơ Ban chỉ phê duyệt sau (cấp dưới trước cấp trên).</t>
        </is>
      </c>
      <c r="I129" s="2" t="inlineStr">
        <is>
          <t>app.e2e-spec.ts</t>
        </is>
      </c>
      <c r="J129" s="2" t="inlineStr">
        <is>
          <t>17/17 điều kiện đạt</t>
        </is>
      </c>
      <c r="K129" s="2" t="inlineStr">
        <is>
          <t>Đ</t>
        </is>
      </c>
      <c r="L129" s="2" t="inlineStr"/>
      <c r="M129" s="2" t="inlineStr">
        <is>
          <t>Evidence: evidence/UC-16/TC-16-03.json</t>
        </is>
      </c>
      <c r="N129" s="2" t="inlineStr">
        <is>
          <t>Claude (chạy tự động)</t>
        </is>
      </c>
      <c r="O129" s="2" t="inlineStr">
        <is>
          <t>2026-10-18</t>
        </is>
      </c>
    </row>
    <row r="130">
      <c r="A130" s="2" t="inlineStr">
        <is>
          <t>TC-16-04</t>
        </is>
      </c>
      <c r="B130" s="2" t="inlineStr">
        <is>
          <t>UC-16</t>
        </is>
      </c>
      <c r="C130" s="2" t="inlineStr">
        <is>
          <t>AC-16.3</t>
        </is>
      </c>
      <c r="D130" s="2" t="inlineStr">
        <is>
          <t>Chính</t>
        </is>
      </c>
      <c r="E130" s="2" t="inlineStr">
        <is>
          <t>P1</t>
        </is>
      </c>
      <c r="F130" s="2" t="inlineStr">
        <is>
          <t>thuongvu</t>
        </is>
      </c>
      <c r="G130" s="2" t="inlineStr">
        <is>
          <t>Thẩm định và phê duyệt hồ sơ của Ban.</t>
        </is>
      </c>
      <c r="H130" s="2" t="inlineStr">
        <is>
          <t>Thực hiện được; truongban không thẩm định/phê duyệt hồ sơ của chính Ban.</t>
        </is>
      </c>
      <c r="I130" s="2" t="inlineStr">
        <is>
          <t>app.e2e-spec.ts</t>
        </is>
      </c>
      <c r="J130" s="2" t="inlineStr">
        <is>
          <t>7/7 điều kiện đạt</t>
        </is>
      </c>
      <c r="K130" s="2" t="inlineStr">
        <is>
          <t>Đ</t>
        </is>
      </c>
      <c r="L130" s="2" t="inlineStr"/>
      <c r="M130" s="2" t="inlineStr">
        <is>
          <t>Evidence: evidence/UC-16/TC-16-04.json</t>
        </is>
      </c>
      <c r="N130" s="2" t="inlineStr">
        <is>
          <t>Claude (chạy tự động)</t>
        </is>
      </c>
      <c r="O130" s="2" t="inlineStr">
        <is>
          <t>2026-10-18</t>
        </is>
      </c>
    </row>
    <row r="131">
      <c r="A131" s="2" t="inlineStr">
        <is>
          <t>TC-16-05</t>
        </is>
      </c>
      <c r="B131" s="2" t="inlineStr">
        <is>
          <t>UC-16</t>
        </is>
      </c>
      <c r="C131" s="2" t="inlineStr">
        <is>
          <t>AC-16.4</t>
        </is>
      </c>
      <c r="D131" s="2" t="inlineStr">
        <is>
          <t>Chính</t>
        </is>
      </c>
      <c r="E131" s="2" t="inlineStr">
        <is>
          <t>P2</t>
        </is>
      </c>
      <c r="F131" s="2" t="inlineStr">
        <is>
          <t>vanphong</t>
        </is>
      </c>
      <c r="G131" s="2" t="inlineStr">
        <is>
          <t>Mở báo cáo tập thể theo trục.</t>
        </is>
      </c>
      <c r="H131" s="2" t="inlineStr">
        <is>
          <t>Điểm theo trục, so sánh phòng ở trục chung; trục đặc thù chỉ phòng tương ứng.</t>
        </is>
      </c>
      <c r="I131" s="2" t="inlineStr">
        <is>
          <t>app.e2e-spec.ts</t>
        </is>
      </c>
      <c r="J131" s="2" t="inlineStr">
        <is>
          <t>6/6 điều kiện đạt</t>
        </is>
      </c>
      <c r="K131" s="2" t="inlineStr">
        <is>
          <t>Đ</t>
        </is>
      </c>
      <c r="L131" s="2" t="inlineStr"/>
      <c r="M131" s="2" t="inlineStr">
        <is>
          <t>Evidence: evidence/UC-16/TC-16-05.json</t>
        </is>
      </c>
      <c r="N131" s="2" t="inlineStr">
        <is>
          <t>Claude (chạy tự động)</t>
        </is>
      </c>
      <c r="O131" s="2" t="inlineStr">
        <is>
          <t>2026-10-18</t>
        </is>
      </c>
    </row>
    <row r="132">
      <c r="A132" s="2" t="inlineStr">
        <is>
          <t>TC-16-06</t>
        </is>
      </c>
      <c r="B132" s="2" t="inlineStr">
        <is>
          <t>UC-16</t>
        </is>
      </c>
      <c r="C132" s="2" t="inlineStr">
        <is>
          <t>AC-16.1</t>
        </is>
      </c>
      <c r="D132" s="2" t="inlineStr">
        <is>
          <t>Âm</t>
        </is>
      </c>
      <c r="E132" s="2" t="inlineStr">
        <is>
          <t>P3</t>
        </is>
      </c>
      <c r="F132" s="2" t="inlineStr">
        <is>
          <t>vanphong</t>
        </is>
      </c>
      <c r="G132" s="2" t="inlineStr">
        <is>
          <t>Sửa trục dùng bởi hồ sơ đang chờ thẩm định.</t>
        </is>
      </c>
      <c r="H132" s="2" t="inlineStr">
        <is>
          <t>Bị chặn; hồ sơ phòng khác không bị chặn.</t>
        </is>
      </c>
      <c r="I132" s="2" t="inlineStr">
        <is>
          <t>tests đơn vị cùng mô-đun</t>
        </is>
      </c>
      <c r="J132" s="2" t="inlineStr">
        <is>
          <t>2/2 điều kiện đạt</t>
        </is>
      </c>
      <c r="K132" s="2" t="inlineStr">
        <is>
          <t>Đ</t>
        </is>
      </c>
      <c r="L132" s="2" t="inlineStr"/>
      <c r="M132" s="2" t="inlineStr">
        <is>
          <t>Evidence: evidence/UC-16/TC-16-06.json</t>
        </is>
      </c>
      <c r="N132" s="2" t="inlineStr">
        <is>
          <t>Claude (chạy tự động)</t>
        </is>
      </c>
      <c r="O132" s="2" t="inlineStr">
        <is>
          <t>2026-10-18</t>
        </is>
      </c>
    </row>
    <row r="133">
      <c r="A133" s="2" t="inlineStr">
        <is>
          <t>TC-17-01</t>
        </is>
      </c>
      <c r="B133" s="2" t="inlineStr">
        <is>
          <t>UC-17</t>
        </is>
      </c>
      <c r="C133" s="2" t="inlineStr">
        <is>
          <t>AC-17.1</t>
        </is>
      </c>
      <c r="D133" s="2" t="inlineStr">
        <is>
          <t>Chính</t>
        </is>
      </c>
      <c r="E133" s="2" t="inlineStr">
        <is>
          <t>P1</t>
        </is>
      </c>
      <c r="F133" s="2" t="inlineStr">
        <is>
          <t>vanphong, phoban</t>
        </is>
      </c>
      <c r="G133" s="2" t="inlineStr">
        <is>
          <t>1) vanphong ghi nhận khiếu nại của phòng X, kỳ năm. 2) phoban thử phê duyệt hồ sơ tập thể phòng X.</t>
        </is>
      </c>
      <c r="H133" s="2" t="inlineStr">
        <is>
          <t>Phê duyệt bị 409, nêu còn khiếu nại; thẩm định vẫn được nhưng có cảnh báo.</t>
        </is>
      </c>
      <c r="I133" s="2" t="inlineStr">
        <is>
          <t>tests cùng mô-đun; app.e2e-spec.ts</t>
        </is>
      </c>
      <c r="J133" s="2" t="inlineStr">
        <is>
          <t>5/5 điều kiện đạt</t>
        </is>
      </c>
      <c r="K133" s="2" t="inlineStr">
        <is>
          <t>Đ</t>
        </is>
      </c>
      <c r="L133" s="2" t="inlineStr"/>
      <c r="M133" s="2" t="inlineStr">
        <is>
          <t>Evidence: evidence/UC-17/TC-17-01.json</t>
        </is>
      </c>
      <c r="N133" s="2" t="inlineStr">
        <is>
          <t>Claude (chạy tự động)</t>
        </is>
      </c>
      <c r="O133" s="2" t="inlineStr">
        <is>
          <t>2026-10-18</t>
        </is>
      </c>
    </row>
    <row r="134">
      <c r="A134" s="2" t="inlineStr">
        <is>
          <t>TC-17-02</t>
        </is>
      </c>
      <c r="B134" s="2" t="inlineStr">
        <is>
          <t>UC-17</t>
        </is>
      </c>
      <c r="C134" s="2" t="inlineStr">
        <is>
          <t>AC-17.3</t>
        </is>
      </c>
      <c r="D134" s="2" t="inlineStr">
        <is>
          <t>Chính</t>
        </is>
      </c>
      <c r="E134" s="2" t="inlineStr">
        <is>
          <t>P1</t>
        </is>
      </c>
      <c r="F134" s="2" t="inlineStr">
        <is>
          <t>phoban</t>
        </is>
      </c>
      <c r="G134" s="2" t="inlineStr">
        <is>
          <t>Chỉ đạo xác minh (người được giao, hạn); sau đó kết luận "không đúng".</t>
        </is>
      </c>
      <c r="H134" s="2" t="inlineStr">
        <is>
          <t>Khiếu nại đóng; phê duyệt được.</t>
        </is>
      </c>
      <c r="I134" s="2" t="inlineStr">
        <is>
          <t>tests đơn vị cùng mô-đun</t>
        </is>
      </c>
      <c r="J134" s="2" t="inlineStr">
        <is>
          <t>4/4 điều kiện đạt</t>
        </is>
      </c>
      <c r="K134" s="2" t="inlineStr">
        <is>
          <t>Đ</t>
        </is>
      </c>
      <c r="L134" s="2" t="inlineStr"/>
      <c r="M134" s="2" t="inlineStr">
        <is>
          <t>Evidence: evidence/UC-17/TC-17-02.json</t>
        </is>
      </c>
      <c r="N134" s="2" t="inlineStr">
        <is>
          <t>Claude (chạy tự động)</t>
        </is>
      </c>
      <c r="O134" s="2" t="inlineStr">
        <is>
          <t>2026-10-18</t>
        </is>
      </c>
    </row>
    <row r="135">
      <c r="A135" s="2" t="inlineStr">
        <is>
          <t>TC-17-03</t>
        </is>
      </c>
      <c r="B135" s="2" t="inlineStr">
        <is>
          <t>UC-17</t>
        </is>
      </c>
      <c r="C135" s="2" t="inlineStr">
        <is>
          <t>AC-17.2</t>
        </is>
      </c>
      <c r="D135" s="2" t="inlineStr">
        <is>
          <t>Chính</t>
        </is>
      </c>
      <c r="E135" s="2" t="inlineStr">
        <is>
          <t>P1</t>
        </is>
      </c>
      <c r="F135" s="2" t="inlineStr">
        <is>
          <t>phoban</t>
        </is>
      </c>
      <c r="G135" s="2" t="inlineStr">
        <is>
          <t>Kết luận "đúng" rồi phê duyệt.</t>
        </is>
      </c>
      <c r="H135" s="2" t="inlineStr">
        <is>
          <t>Phê duyệt được; xếp loại không tự hạ; kết luận hiện cạnh hồ sơ.</t>
        </is>
      </c>
      <c r="I135" s="2" t="inlineStr">
        <is>
          <t>tests đơn vị cùng mô-đun</t>
        </is>
      </c>
      <c r="J135" s="2" t="inlineStr">
        <is>
          <t>4/4 điều kiện đạt</t>
        </is>
      </c>
      <c r="K135" s="2" t="inlineStr">
        <is>
          <t>Đ</t>
        </is>
      </c>
      <c r="L135" s="2" t="inlineStr"/>
      <c r="M135" s="2" t="inlineStr">
        <is>
          <t>Evidence: evidence/UC-17/TC-17-03.json</t>
        </is>
      </c>
      <c r="N135" s="2" t="inlineStr">
        <is>
          <t>Claude (chạy tự động)</t>
        </is>
      </c>
      <c r="O135" s="2" t="inlineStr">
        <is>
          <t>2026-10-18</t>
        </is>
      </c>
    </row>
    <row r="136">
      <c r="A136" s="2" t="inlineStr">
        <is>
          <t>TC-17-04</t>
        </is>
      </c>
      <c r="B136" s="2" t="inlineStr">
        <is>
          <t>UC-17</t>
        </is>
      </c>
      <c r="C136" s="2" t="inlineStr">
        <is>
          <t>AC-17.3</t>
        </is>
      </c>
      <c r="D136" s="2" t="inlineStr">
        <is>
          <t>Âm</t>
        </is>
      </c>
      <c r="E136" s="2" t="inlineStr">
        <is>
          <t>P1</t>
        </is>
      </c>
      <c r="F136" s="2" t="inlineStr">
        <is>
          <t>vanphong</t>
        </is>
      </c>
      <c r="G136" s="2" t="inlineStr">
        <is>
          <t>Cố chỉ đạo xác minh hoặc kết luận.</t>
        </is>
      </c>
      <c r="H136" s="2" t="inlineStr">
        <is>
          <t>Bị từ chối: chỉ người công nhận.</t>
        </is>
      </c>
      <c r="I136" s="2" t="inlineStr">
        <is>
          <t>tests đơn vị cùng mô-đun</t>
        </is>
      </c>
      <c r="J136" s="2" t="inlineStr">
        <is>
          <t>2/2 điều kiện đạt</t>
        </is>
      </c>
      <c r="K136" s="2" t="inlineStr">
        <is>
          <t>Đ</t>
        </is>
      </c>
      <c r="L136" s="2" t="inlineStr"/>
      <c r="M136" s="2" t="inlineStr">
        <is>
          <t>Evidence: evidence/UC-17/TC-17-04.json</t>
        </is>
      </c>
      <c r="N136" s="2" t="inlineStr">
        <is>
          <t>Claude (chạy tự động)</t>
        </is>
      </c>
      <c r="O136" s="2" t="inlineStr">
        <is>
          <t>2026-10-18</t>
        </is>
      </c>
    </row>
    <row r="137">
      <c r="A137" s="2" t="inlineStr">
        <is>
          <t>TC-17-05</t>
        </is>
      </c>
      <c r="B137" s="2" t="inlineStr">
        <is>
          <t>UC-17</t>
        </is>
      </c>
      <c r="C137" s="2" t="inlineStr">
        <is>
          <t>AC-17.3</t>
        </is>
      </c>
      <c r="D137" s="2" t="inlineStr">
        <is>
          <t>Âm</t>
        </is>
      </c>
      <c r="E137" s="2" t="inlineStr">
        <is>
          <t>P2</t>
        </is>
      </c>
      <c r="F137" s="2" t="inlineStr">
        <is>
          <t>chuyenvien</t>
        </is>
      </c>
      <c r="G137" s="2" t="inlineStr">
        <is>
          <t>Xem nội dung khiếu nại của phòng khác.</t>
        </is>
      </c>
      <c r="H137" s="2" t="inlineStr">
        <is>
          <t>Không xem được; thông báo không nêu nội dung.</t>
        </is>
      </c>
      <c r="I137" s="2" t="inlineStr">
        <is>
          <t>tests đơn vị cùng mô-đun</t>
        </is>
      </c>
      <c r="J137" s="2" t="inlineStr">
        <is>
          <t>2/2 điều kiện đạt</t>
        </is>
      </c>
      <c r="K137" s="2" t="inlineStr">
        <is>
          <t>Đ</t>
        </is>
      </c>
      <c r="L137" s="2" t="inlineStr"/>
      <c r="M137" s="2" t="inlineStr">
        <is>
          <t>Evidence: evidence/UC-17/TC-17-05.json</t>
        </is>
      </c>
      <c r="N137" s="2" t="inlineStr">
        <is>
          <t>Claude (chạy tự động)</t>
        </is>
      </c>
      <c r="O137" s="2" t="inlineStr">
        <is>
          <t>2026-10-18</t>
        </is>
      </c>
    </row>
    <row r="138">
      <c r="A138" s="2" t="inlineStr">
        <is>
          <t>TC-17-06</t>
        </is>
      </c>
      <c r="B138" s="2" t="inlineStr">
        <is>
          <t>UC-17</t>
        </is>
      </c>
      <c r="C138" s="2" t="inlineStr">
        <is>
          <t>AC-17.4</t>
        </is>
      </c>
      <c r="D138" s="2" t="inlineStr">
        <is>
          <t>Chính</t>
        </is>
      </c>
      <c r="E138" s="2" t="inlineStr">
        <is>
          <t>P2</t>
        </is>
      </c>
      <c r="F138" s="2" t="inlineStr">
        <is>
          <t>vanphong</t>
        </is>
      </c>
      <c r="G138" s="2" t="inlineStr">
        <is>
          <t>Xem hạn kỳ năm; gia hạn đến 10/01 năm sau kèm lý do; thử gia hạn đến 20/01 và đến 10/12.</t>
        </is>
      </c>
      <c r="H138" s="2" t="inlineStr">
        <is>
          <t>10/01 được, ghi nhật ký `evaluation.period.deadline`; 20/01 và 10/12 bị từ chối.</t>
        </is>
      </c>
      <c r="I138" s="2" t="inlineStr">
        <is>
          <t>tests đơn vị cùng mô-đun</t>
        </is>
      </c>
      <c r="J138" s="2" t="inlineStr">
        <is>
          <t>5/5 điều kiện đạt</t>
        </is>
      </c>
      <c r="K138" s="2" t="inlineStr">
        <is>
          <t>Đ</t>
        </is>
      </c>
      <c r="L138" s="2" t="inlineStr"/>
      <c r="M138" s="2" t="inlineStr">
        <is>
          <t>Evidence: evidence/UC-17/TC-17-06.json</t>
        </is>
      </c>
      <c r="N138" s="2" t="inlineStr">
        <is>
          <t>Claude (chạy tự động)</t>
        </is>
      </c>
      <c r="O138" s="2" t="inlineStr">
        <is>
          <t>2026-10-18</t>
        </is>
      </c>
    </row>
    <row r="139">
      <c r="A139" s="2" t="inlineStr">
        <is>
          <t>TC-17-07</t>
        </is>
      </c>
      <c r="B139" s="2" t="inlineStr">
        <is>
          <t>UC-17</t>
        </is>
      </c>
      <c r="C139" s="2" t="inlineStr">
        <is>
          <t>AC-17.4</t>
        </is>
      </c>
      <c r="D139" s="2" t="inlineStr">
        <is>
          <t>Biên</t>
        </is>
      </c>
      <c r="E139" s="2" t="inlineStr">
        <is>
          <t>P2</t>
        </is>
      </c>
      <c r="F139" s="2" t="inlineStr">
        <is>
          <t>truongphong</t>
        </is>
      </c>
      <c r="G139" s="2" t="inlineStr">
        <is>
          <t>Đặt ngày hệ thống gần hạn (hoặc dùng kỳ thử còn ≤ 14 ngày, và quá hạn).</t>
        </is>
      </c>
      <c r="H139" s="2" t="inlineStr">
        <is>
          <t>≤ 14 ngày: hiện nhắc; quá hạn: hiện cảnh báo; hệ thống không khóa thao tác.</t>
        </is>
      </c>
      <c r="I139" s="2" t="inlineStr">
        <is>
          <t>tests đơn vị cùng mô-đun</t>
        </is>
      </c>
      <c r="J139" s="2" t="inlineStr">
        <is>
          <t>3/3 điều kiện đạt</t>
        </is>
      </c>
      <c r="K139" s="2" t="inlineStr">
        <is>
          <t>Đ</t>
        </is>
      </c>
      <c r="L139" s="2" t="inlineStr"/>
      <c r="M139" s="2" t="inlineStr">
        <is>
          <t>Evidence: evidence/UC-17/TC-17-07.json</t>
        </is>
      </c>
      <c r="N139" s="2" t="inlineStr">
        <is>
          <t>Claude (chạy tự động)</t>
        </is>
      </c>
      <c r="O139" s="2" t="inlineStr">
        <is>
          <t>2026-10-18</t>
        </is>
      </c>
    </row>
    <row r="140">
      <c r="A140" s="2" t="inlineStr">
        <is>
          <t>TC-17-08</t>
        </is>
      </c>
      <c r="B140" s="2" t="inlineStr">
        <is>
          <t>UC-17</t>
        </is>
      </c>
      <c r="C140" s="2" t="inlineStr">
        <is>
          <t>AC-17.5</t>
        </is>
      </c>
      <c r="D140" s="2" t="inlineStr">
        <is>
          <t>Chính</t>
        </is>
      </c>
      <c r="E140" s="2" t="inlineStr">
        <is>
          <t>P3</t>
        </is>
      </c>
      <c r="F140" s="2" t="inlineStr">
        <is>
          <t>vanphong</t>
        </is>
      </c>
      <c r="G140" s="2" t="inlineStr">
        <is>
          <t>Nhấn "Nhắc việc".</t>
        </is>
      </c>
      <c r="H140" s="2" t="inlineStr">
        <is>
          <t>Người đang giữ hồ sơ năm chưa xong nhận thông báo; người đã xong không nhận.</t>
        </is>
      </c>
      <c r="I140" s="2" t="inlineStr">
        <is>
          <t>tests đơn vị cùng mô-đun</t>
        </is>
      </c>
      <c r="J140" s="2" t="inlineStr">
        <is>
          <t>2/2 điều kiện đạt</t>
        </is>
      </c>
      <c r="K140" s="2" t="inlineStr">
        <is>
          <t>Đ</t>
        </is>
      </c>
      <c r="L140" s="2" t="inlineStr"/>
      <c r="M140" s="2" t="inlineStr">
        <is>
          <t>Evidence: evidence/UC-17/TC-17-08.json</t>
        </is>
      </c>
      <c r="N140" s="2" t="inlineStr">
        <is>
          <t>Claude (chạy tự động)</t>
        </is>
      </c>
      <c r="O140" s="2" t="inlineStr">
        <is>
          <t>2026-10-18</t>
        </is>
      </c>
    </row>
    <row r="141">
      <c r="A141" s="2" t="inlineStr">
        <is>
          <t>TC-18-01</t>
        </is>
      </c>
      <c r="B141" s="2" t="inlineStr">
        <is>
          <t>UC-18</t>
        </is>
      </c>
      <c r="C141" s="2" t="inlineStr">
        <is>
          <t>AC-18.1</t>
        </is>
      </c>
      <c r="D141" s="2" t="inlineStr">
        <is>
          <t>Chính</t>
        </is>
      </c>
      <c r="E141" s="2" t="inlineStr">
        <is>
          <t>P1</t>
        </is>
      </c>
      <c r="F141" s="2" t="inlineStr">
        <is>
          <t>chuyenvien</t>
        </is>
      </c>
      <c r="G141" s="2" t="inlineStr">
        <is>
          <t>Mở hồ sơ S2, thẻ "Giải thích điểm và mô phỏng".</t>
        </is>
      </c>
      <c r="H141" s="2" t="inlineStr">
        <is>
          <t>Điểm từng thành phần A, B, C và điểm mất ở dòng việc (do 1 chưa đạt, 1 chậm); cộng lại đúng 58,33; có dẫn điều khoản Nghị định 335.</t>
        </is>
      </c>
      <c r="I141" s="2" t="inlineStr">
        <is>
          <t>score-insight.spec.ts</t>
        </is>
      </c>
      <c r="J141" s="2" t="inlineStr">
        <is>
          <t>7/7 điều kiện đạt</t>
        </is>
      </c>
      <c r="K141" s="2" t="inlineStr">
        <is>
          <t>Đ</t>
        </is>
      </c>
      <c r="L141" s="2" t="inlineStr"/>
      <c r="M141" s="2" t="inlineStr">
        <is>
          <t>Evidence: evidence/UC-18/TC-18-01.json</t>
        </is>
      </c>
      <c r="N141" s="2" t="inlineStr">
        <is>
          <t>Claude (chạy tự động)</t>
        </is>
      </c>
      <c r="O141" s="2" t="inlineStr">
        <is>
          <t>2026-10-18</t>
        </is>
      </c>
    </row>
    <row r="142">
      <c r="A142" s="2" t="inlineStr">
        <is>
          <t>TC-18-02</t>
        </is>
      </c>
      <c r="B142" s="2" t="inlineStr">
        <is>
          <t>UC-18</t>
        </is>
      </c>
      <c r="C142" s="2" t="inlineStr">
        <is>
          <t>AC-18.2</t>
        </is>
      </c>
      <c r="D142" s="2" t="inlineStr">
        <is>
          <t>Chính</t>
        </is>
      </c>
      <c r="E142" s="2" t="inlineStr">
        <is>
          <t>P1</t>
        </is>
      </c>
      <c r="F142" s="2" t="inlineStr">
        <is>
          <t>chuyenvien</t>
        </is>
      </c>
      <c r="G142" s="2" t="inlineStr">
        <is>
          <t>Trong mô phỏng đặt số chậm = 0, chưa đạt = 0; xem kết quả; tải lại trang.</t>
        </is>
      </c>
      <c r="H142" s="2" t="inlineStr">
        <is>
          <t>Mô phỏng hiện 70,00 và 100,00; sau tải lại hồ sơ thật vẫn 58,33 (không ghi).</t>
        </is>
      </c>
      <c r="I142" s="2" t="inlineStr">
        <is>
          <t>score-insight.spec.ts</t>
        </is>
      </c>
      <c r="J142" s="2" t="inlineStr">
        <is>
          <t>4/4 điều kiện đạt</t>
        </is>
      </c>
      <c r="K142" s="2" t="inlineStr">
        <is>
          <t>Đ</t>
        </is>
      </c>
      <c r="L142" s="2" t="inlineStr"/>
      <c r="M142" s="2" t="inlineStr">
        <is>
          <t>Evidence: evidence/UC-18/TC-18-02.json</t>
        </is>
      </c>
      <c r="N142" s="2" t="inlineStr">
        <is>
          <t>Claude (chạy tự động)</t>
        </is>
      </c>
      <c r="O142" s="2" t="inlineStr">
        <is>
          <t>2026-10-18</t>
        </is>
      </c>
    </row>
    <row r="143">
      <c r="A143" s="2" t="inlineStr">
        <is>
          <t>TC-18-03</t>
        </is>
      </c>
      <c r="B143" s="2" t="inlineStr">
        <is>
          <t>UC-18</t>
        </is>
      </c>
      <c r="C143" s="2" t="inlineStr">
        <is>
          <t>AC-18.3</t>
        </is>
      </c>
      <c r="D143" s="2" t="inlineStr">
        <is>
          <t>Chính</t>
        </is>
      </c>
      <c r="E143" s="2" t="inlineStr">
        <is>
          <t>P2</t>
        </is>
      </c>
      <c r="F143" s="2" t="inlineStr">
        <is>
          <t>chuyenvien</t>
        </is>
      </c>
      <c r="G143" s="2" t="inlineStr">
        <is>
          <t>Mô phỏng đổi số đạt về 5.</t>
        </is>
      </c>
      <c r="H143" s="2" t="inlineStr">
        <is>
          <t>Kết quả 35,00 khớp S3 (với tiêu chí chung 30).</t>
        </is>
      </c>
      <c r="I143" s="2" t="inlineStr">
        <is>
          <t>tests đơn vị cùng mô-đun</t>
        </is>
      </c>
      <c r="J143" s="2" t="inlineStr">
        <is>
          <t>2/2 điều kiện đạt</t>
        </is>
      </c>
      <c r="K143" s="2" t="inlineStr">
        <is>
          <t>Đ</t>
        </is>
      </c>
      <c r="L143" s="2" t="inlineStr"/>
      <c r="M143" s="2" t="inlineStr">
        <is>
          <t>Evidence: evidence/UC-18/TC-18-03.json</t>
        </is>
      </c>
      <c r="N143" s="2" t="inlineStr">
        <is>
          <t>Claude (chạy tự động)</t>
        </is>
      </c>
      <c r="O143" s="2" t="inlineStr">
        <is>
          <t>2026-10-18</t>
        </is>
      </c>
    </row>
    <row r="144">
      <c r="A144" s="2" t="inlineStr">
        <is>
          <t>TC-18-04</t>
        </is>
      </c>
      <c r="B144" s="2" t="inlineStr">
        <is>
          <t>UC-18</t>
        </is>
      </c>
      <c r="C144" s="2" t="inlineStr">
        <is>
          <t>AC-18.3</t>
        </is>
      </c>
      <c r="D144" s="2" t="inlineStr">
        <is>
          <t>Chính</t>
        </is>
      </c>
      <c r="E144" s="2" t="inlineStr">
        <is>
          <t>P3</t>
        </is>
      </c>
      <c r="F144" s="2" t="inlineStr">
        <is>
          <t>chuyenvien</t>
        </is>
      </c>
      <c r="G144" s="2" t="inlineStr">
        <is>
          <t>Xem gợi ý "để lên mức kế tiếp" ở hồ sơ 65,00.</t>
        </is>
      </c>
      <c r="H144" s="2" t="inlineStr">
        <is>
          <t>Nêu cần thêm bao nhiêu điểm/sản phẩm để lên Hoàn thành tốt; nêu rủi ro bị trừ.</t>
        </is>
      </c>
      <c r="I144" s="2" t="inlineStr">
        <is>
          <t>tests đơn vị cùng mô-đun</t>
        </is>
      </c>
      <c r="J144" s="2" t="inlineStr">
        <is>
          <t>3/3 điều kiện đạt</t>
        </is>
      </c>
      <c r="K144" s="2" t="inlineStr">
        <is>
          <t>Đ</t>
        </is>
      </c>
      <c r="L144" s="2" t="inlineStr"/>
      <c r="M144" s="2" t="inlineStr">
        <is>
          <t>Evidence: evidence/UC-18/TC-18-04.json</t>
        </is>
      </c>
      <c r="N144" s="2" t="inlineStr">
        <is>
          <t>Claude (chạy tự động)</t>
        </is>
      </c>
      <c r="O144" s="2" t="inlineStr">
        <is>
          <t>2026-10-18</t>
        </is>
      </c>
    </row>
    <row r="145">
      <c r="A145" s="2" t="inlineStr">
        <is>
          <t>TC-19-01</t>
        </is>
      </c>
      <c r="B145" s="2" t="inlineStr">
        <is>
          <t>UC-19</t>
        </is>
      </c>
      <c r="C145" s="2" t="inlineStr">
        <is>
          <t>AC-19.1</t>
        </is>
      </c>
      <c r="D145" s="2" t="inlineStr">
        <is>
          <t>Chính</t>
        </is>
      </c>
      <c r="E145" s="2" t="inlineStr">
        <is>
          <t>P1</t>
        </is>
      </c>
      <c r="F145" s="2" t="inlineStr">
        <is>
          <t>chuyenvien</t>
        </is>
      </c>
      <c r="G145" s="2" t="inlineStr">
        <is>
          <t>Mở Tổng quan.</t>
        </is>
      </c>
      <c r="H145" s="2" t="inlineStr">
        <is>
          <t>Chỉ số liệu của mình, không có số toàn phòng, toàn Ban.</t>
        </is>
      </c>
      <c r="I145" s="2" t="inlineStr">
        <is>
          <t>app.e2e-spec.ts</t>
        </is>
      </c>
      <c r="J145" s="2" t="inlineStr">
        <is>
          <t>5/5 điều kiện đạt</t>
        </is>
      </c>
      <c r="K145" s="2" t="inlineStr">
        <is>
          <t>Đ</t>
        </is>
      </c>
      <c r="L145" s="2" t="inlineStr"/>
      <c r="M145" s="2" t="inlineStr">
        <is>
          <t>Evidence: evidence/UC-19/TC-19-01.json</t>
        </is>
      </c>
      <c r="N145" s="2" t="inlineStr">
        <is>
          <t>Claude (chạy tự động)</t>
        </is>
      </c>
      <c r="O145" s="2" t="inlineStr">
        <is>
          <t>2026-10-18</t>
        </is>
      </c>
    </row>
    <row r="146">
      <c r="A146" s="2" t="inlineStr">
        <is>
          <t>TC-19-02</t>
        </is>
      </c>
      <c r="B146" s="2" t="inlineStr">
        <is>
          <t>UC-19</t>
        </is>
      </c>
      <c r="C146" s="2" t="inlineStr">
        <is>
          <t>AC-19.1</t>
        </is>
      </c>
      <c r="D146" s="2" t="inlineStr">
        <is>
          <t>Chính</t>
        </is>
      </c>
      <c r="E146" s="2" t="inlineStr">
        <is>
          <t>P1</t>
        </is>
      </c>
      <c r="F146" s="2" t="inlineStr">
        <is>
          <t>truongban, truongphong</t>
        </is>
      </c>
      <c r="G146" s="2" t="inlineStr">
        <is>
          <t>Mở Tổng quan.</t>
        </is>
      </c>
      <c r="H146" s="2" t="inlineStr">
        <is>
          <t>truongban: toàn Ban; truongphong: phòng mình.</t>
        </is>
      </c>
      <c r="I146" s="2" t="inlineStr">
        <is>
          <t>app.e2e-spec.ts</t>
        </is>
      </c>
      <c r="J146" s="2" t="inlineStr">
        <is>
          <t>5/5 điều kiện đạt</t>
        </is>
      </c>
      <c r="K146" s="2" t="inlineStr">
        <is>
          <t>Đ</t>
        </is>
      </c>
      <c r="L146" s="2" t="inlineStr"/>
      <c r="M146" s="2" t="inlineStr">
        <is>
          <t>Evidence: evidence/UC-19/TC-19-02.json</t>
        </is>
      </c>
      <c r="N146" s="2" t="inlineStr">
        <is>
          <t>Claude (chạy tự động)</t>
        </is>
      </c>
      <c r="O146" s="2" t="inlineStr">
        <is>
          <t>2026-10-18</t>
        </is>
      </c>
    </row>
    <row r="147">
      <c r="A147" s="2" t="inlineStr">
        <is>
          <t>TC-19-03</t>
        </is>
      </c>
      <c r="B147" s="2" t="inlineStr">
        <is>
          <t>UC-19</t>
        </is>
      </c>
      <c r="C147" s="2" t="inlineStr">
        <is>
          <t>AC-19.2</t>
        </is>
      </c>
      <c r="D147" s="2" t="inlineStr">
        <is>
          <t>Chính</t>
        </is>
      </c>
      <c r="E147" s="2" t="inlineStr">
        <is>
          <t>P1</t>
        </is>
      </c>
      <c r="F147" s="2" t="inlineStr">
        <is>
          <t>truongphong</t>
        </is>
      </c>
      <c r="G147" s="2" t="inlineStr">
        <is>
          <t>Có một hồ sơ chờ thẩm định và một đề xuất đột xuất chờ duyệt.</t>
        </is>
      </c>
      <c r="H147" s="2" t="inlineStr">
        <is>
          <t>Khối "Cần xử lý" liệt kê đúng hai mục, nhấn vào mở đúng đối tượng.</t>
        </is>
      </c>
      <c r="I147" s="2" t="inlineStr">
        <is>
          <t>app.e2e-spec.ts</t>
        </is>
      </c>
      <c r="J147" s="2" t="inlineStr">
        <is>
          <t>4/4 điều kiện đạt</t>
        </is>
      </c>
      <c r="K147" s="2" t="inlineStr">
        <is>
          <t>Đ</t>
        </is>
      </c>
      <c r="L147" s="2" t="inlineStr"/>
      <c r="M147" s="2" t="inlineStr">
        <is>
          <t>Evidence: evidence/UC-19/TC-19-03.json</t>
        </is>
      </c>
      <c r="N147" s="2" t="inlineStr">
        <is>
          <t>Claude (chạy tự động)</t>
        </is>
      </c>
      <c r="O147" s="2" t="inlineStr">
        <is>
          <t>2026-10-18</t>
        </is>
      </c>
    </row>
    <row r="148">
      <c r="A148" s="2" t="inlineStr">
        <is>
          <t>TC-19-04</t>
        </is>
      </c>
      <c r="B148" s="2" t="inlineStr">
        <is>
          <t>UC-19</t>
        </is>
      </c>
      <c r="C148" s="2" t="inlineStr">
        <is>
          <t>AC-19.3</t>
        </is>
      </c>
      <c r="D148" s="2" t="inlineStr">
        <is>
          <t>Chính</t>
        </is>
      </c>
      <c r="E148" s="2" t="inlineStr">
        <is>
          <t>P2</t>
        </is>
      </c>
      <c r="F148" s="2" t="inlineStr">
        <is>
          <t>phophong</t>
        </is>
      </c>
      <c r="G148" s="2" t="inlineStr">
        <is>
          <t>Chạy `npm run seed-demo-scenarios`; xem "Cảnh báo sớm".</t>
        </is>
      </c>
      <c r="H148" s="2" t="inlineStr">
        <is>
          <t>Có việc quá hạn, sắp đến hạn làm chưa nửa, chậm so với tiến độ; kèm người cần nhắc.</t>
        </is>
      </c>
      <c r="I148" s="2" t="inlineStr">
        <is>
          <t>app.e2e-spec.ts</t>
        </is>
      </c>
      <c r="J148" s="2" t="inlineStr">
        <is>
          <t>7/7 điều kiện đạt</t>
        </is>
      </c>
      <c r="K148" s="2" t="inlineStr">
        <is>
          <t>Đ</t>
        </is>
      </c>
      <c r="L148" s="2" t="inlineStr"/>
      <c r="M148" s="2" t="inlineStr">
        <is>
          <t>Evidence: evidence/UC-19/TC-19-04.json</t>
        </is>
      </c>
      <c r="N148" s="2" t="inlineStr">
        <is>
          <t>Claude (chạy tự động)</t>
        </is>
      </c>
      <c r="O148" s="2" t="inlineStr">
        <is>
          <t>2026-10-18</t>
        </is>
      </c>
    </row>
    <row r="149">
      <c r="A149" s="2" t="inlineStr">
        <is>
          <t>TC-19-05</t>
        </is>
      </c>
      <c r="B149" s="2" t="inlineStr">
        <is>
          <t>UC-19</t>
        </is>
      </c>
      <c r="C149" s="2" t="inlineStr">
        <is>
          <t>AC-19.4</t>
        </is>
      </c>
      <c r="D149" s="2" t="inlineStr">
        <is>
          <t>Chính</t>
        </is>
      </c>
      <c r="E149" s="2" t="inlineStr">
        <is>
          <t>P2</t>
        </is>
      </c>
      <c r="F149" s="2" t="inlineStr">
        <is>
          <t>truongban</t>
        </is>
      </c>
      <c r="G149" s="2" t="inlineStr">
        <is>
          <t>So sánh số hồ sơ đã duyệt ở Tổng quan với danh sách `/evaluations` cùng kỳ.</t>
        </is>
      </c>
      <c r="H149" s="2" t="inlineStr">
        <is>
          <t>Hai số khớp.</t>
        </is>
      </c>
      <c r="I149" s="2" t="inlineStr">
        <is>
          <t>–</t>
        </is>
      </c>
      <c r="J149" s="2" t="inlineStr">
        <is>
          <t>3/3 điều kiện đạt</t>
        </is>
      </c>
      <c r="K149" s="2" t="inlineStr">
        <is>
          <t>Đ</t>
        </is>
      </c>
      <c r="L149" s="2" t="inlineStr"/>
      <c r="M149" s="2" t="inlineStr">
        <is>
          <t>Evidence: evidence/UC-19/TC-19-05.json</t>
        </is>
      </c>
      <c r="N149" s="2" t="inlineStr">
        <is>
          <t>Claude (chạy tự động)</t>
        </is>
      </c>
      <c r="O149" s="2" t="inlineStr">
        <is>
          <t>2026-10-18</t>
        </is>
      </c>
    </row>
    <row r="150">
      <c r="A150" s="2" t="inlineStr">
        <is>
          <t>TC-20-01</t>
        </is>
      </c>
      <c r="B150" s="2" t="inlineStr">
        <is>
          <t>UC-20</t>
        </is>
      </c>
      <c r="C150" s="2" t="inlineStr">
        <is>
          <t>AC-20.1</t>
        </is>
      </c>
      <c r="D150" s="2" t="inlineStr">
        <is>
          <t>Chính</t>
        </is>
      </c>
      <c r="E150" s="2" t="inlineStr">
        <is>
          <t>P1</t>
        </is>
      </c>
      <c r="F150" s="2" t="inlineStr">
        <is>
          <t>vanphong</t>
        </is>
      </c>
      <c r="G150" s="2" t="inlineStr">
        <is>
          <t>Mở `/reports`, lọc theo kỳ và đơn vị.</t>
        </is>
      </c>
      <c r="H150" s="2" t="inlineStr">
        <is>
          <t>Bảng điểm, phân bố xếp loại theo đơn vị đúng phạm vi; chỉ hồ sơ APPROVED tính vào số liệu chính thức.</t>
        </is>
      </c>
      <c r="I150" s="2" t="inlineStr">
        <is>
          <t>app.e2e-spec.ts</t>
        </is>
      </c>
      <c r="J150" s="2" t="inlineStr">
        <is>
          <t>5/5 điều kiện đạt</t>
        </is>
      </c>
      <c r="K150" s="2" t="inlineStr">
        <is>
          <t>Đ</t>
        </is>
      </c>
      <c r="L150" s="2" t="inlineStr"/>
      <c r="M150" s="2" t="inlineStr">
        <is>
          <t>Evidence: evidence/UC-20/TC-20-01.json</t>
        </is>
      </c>
      <c r="N150" s="2" t="inlineStr">
        <is>
          <t>Claude (chạy tự động)</t>
        </is>
      </c>
      <c r="O150" s="2" t="inlineStr">
        <is>
          <t>2026-10-18</t>
        </is>
      </c>
    </row>
    <row r="151">
      <c r="A151" s="2" t="inlineStr">
        <is>
          <t>TC-20-02</t>
        </is>
      </c>
      <c r="B151" s="2" t="inlineStr">
        <is>
          <t>UC-20</t>
        </is>
      </c>
      <c r="C151" s="2" t="inlineStr">
        <is>
          <t>AC-20.2</t>
        </is>
      </c>
      <c r="D151" s="2" t="inlineStr">
        <is>
          <t>Chính</t>
        </is>
      </c>
      <c r="E151" s="2" t="inlineStr">
        <is>
          <t>P1</t>
        </is>
      </c>
      <c r="F151" s="2" t="inlineStr">
        <is>
          <t>vanphong</t>
        </is>
      </c>
      <c r="G151" s="2" t="inlineStr">
        <is>
          <t>Xuất Excel kết quả kỳ; mở bằng Excel.</t>
        </is>
      </c>
      <c r="H151" s="2" t="inlineStr">
        <is>
          <t>Mở được; tiêu đề cột đúng; số dòng bằng màn hình; chữ Việt đủ dấu; chỉ họ tên, đơn vị, chức vụ, điểm, xếp loại (không xuất nhận xét nhạy cảm).</t>
        </is>
      </c>
      <c r="I151" s="2" t="inlineStr">
        <is>
          <t>app.e2e-spec.ts</t>
        </is>
      </c>
      <c r="J151" s="2" t="inlineStr">
        <is>
          <t>7/7 điều kiện đạt</t>
        </is>
      </c>
      <c r="K151" s="2" t="inlineStr">
        <is>
          <t>Đ</t>
        </is>
      </c>
      <c r="L151" s="2" t="inlineStr"/>
      <c r="M151" s="2" t="inlineStr">
        <is>
          <t>Evidence: evidence/UC-20/TC-20-02.json</t>
        </is>
      </c>
      <c r="N151" s="2" t="inlineStr">
        <is>
          <t>Claude (chạy tự động)</t>
        </is>
      </c>
      <c r="O151" s="2" t="inlineStr">
        <is>
          <t>2026-10-18</t>
        </is>
      </c>
    </row>
    <row r="152">
      <c r="A152" s="2" t="inlineStr">
        <is>
          <t>TC-20-03</t>
        </is>
      </c>
      <c r="B152" s="2" t="inlineStr">
        <is>
          <t>UC-20</t>
        </is>
      </c>
      <c r="C152" s="2" t="inlineStr">
        <is>
          <t>AC-20.2</t>
        </is>
      </c>
      <c r="D152" s="2" t="inlineStr">
        <is>
          <t>Chính</t>
        </is>
      </c>
      <c r="E152" s="2" t="inlineStr">
        <is>
          <t>P2</t>
        </is>
      </c>
      <c r="F152" s="2" t="inlineStr">
        <is>
          <t>vanphong</t>
        </is>
      </c>
      <c r="G152" s="2" t="inlineStr">
        <is>
          <t>Xuất PDF cùng nội dung.</t>
        </is>
      </c>
      <c r="H152" s="2" t="inlineStr">
        <is>
          <t>Mở được; phông hiển thị đúng dấu.</t>
        </is>
      </c>
      <c r="I152" s="2" t="inlineStr">
        <is>
          <t>app.e2e-spec.ts</t>
        </is>
      </c>
      <c r="J152" s="2" t="inlineStr">
        <is>
          <t>3/3 điều kiện đạt</t>
        </is>
      </c>
      <c r="K152" s="2" t="inlineStr">
        <is>
          <t>Đ</t>
        </is>
      </c>
      <c r="L152" s="2" t="inlineStr"/>
      <c r="M152" s="2" t="inlineStr">
        <is>
          <t>Evidence: evidence/UC-20/TC-20-03.json</t>
        </is>
      </c>
      <c r="N152" s="2" t="inlineStr">
        <is>
          <t>Claude (chạy tự động)</t>
        </is>
      </c>
      <c r="O152" s="2" t="inlineStr">
        <is>
          <t>2026-10-18</t>
        </is>
      </c>
    </row>
    <row r="153">
      <c r="A153" s="2" t="inlineStr">
        <is>
          <t>TC-20-04</t>
        </is>
      </c>
      <c r="B153" s="2" t="inlineStr">
        <is>
          <t>UC-20</t>
        </is>
      </c>
      <c r="C153" s="2" t="inlineStr">
        <is>
          <t>AC-20.3</t>
        </is>
      </c>
      <c r="D153" s="2" t="inlineStr">
        <is>
          <t>Chính</t>
        </is>
      </c>
      <c r="E153" s="2" t="inlineStr">
        <is>
          <t>P1</t>
        </is>
      </c>
      <c r="F153" s="2" t="inlineStr">
        <is>
          <t>quantridulieu</t>
        </is>
      </c>
      <c r="G153" s="2" t="inlineStr">
        <is>
          <t>Xem nhật ký sau TC-20-02.</t>
        </is>
      </c>
      <c r="H153" s="2" t="inlineStr">
        <is>
          <t>Có bản ghi xuất (người, thời điểm, định dạng, kỳ, số dòng).</t>
        </is>
      </c>
      <c r="I153" s="2" t="inlineStr">
        <is>
          <t>app.e2e-spec.ts</t>
        </is>
      </c>
      <c r="J153" s="2" t="inlineStr">
        <is>
          <t>2/2 điều kiện đạt</t>
        </is>
      </c>
      <c r="K153" s="2" t="inlineStr">
        <is>
          <t>Đ</t>
        </is>
      </c>
      <c r="L153" s="2" t="inlineStr"/>
      <c r="M153" s="2" t="inlineStr">
        <is>
          <t>Evidence: evidence/UC-20/TC-20-04.json</t>
        </is>
      </c>
      <c r="N153" s="2" t="inlineStr">
        <is>
          <t>Claude (chạy tự động)</t>
        </is>
      </c>
      <c r="O153" s="2" t="inlineStr">
        <is>
          <t>2026-10-18</t>
        </is>
      </c>
    </row>
    <row r="154">
      <c r="A154" s="2" t="inlineStr">
        <is>
          <t>TC-20-05</t>
        </is>
      </c>
      <c r="B154" s="2" t="inlineStr">
        <is>
          <t>UC-20</t>
        </is>
      </c>
      <c r="C154" s="2" t="inlineStr">
        <is>
          <t>AC-20.4</t>
        </is>
      </c>
      <c r="D154" s="2" t="inlineStr">
        <is>
          <t>Âm</t>
        </is>
      </c>
      <c r="E154" s="2" t="inlineStr">
        <is>
          <t>P1</t>
        </is>
      </c>
      <c r="F154" s="2" t="inlineStr">
        <is>
          <t>chuyenvien</t>
        </is>
      </c>
      <c r="G154" s="2" t="inlineStr">
        <is>
          <t>Mở `/reports`; gọi API xuất.</t>
        </is>
      </c>
      <c r="H154" s="2" t="inlineStr">
        <is>
          <t>Không có nút xuất; API 403.</t>
        </is>
      </c>
      <c r="I154" s="2" t="inlineStr">
        <is>
          <t>app.e2e-spec.ts</t>
        </is>
      </c>
      <c r="J154" s="2" t="inlineStr">
        <is>
          <t>5/5 điều kiện đạt</t>
        </is>
      </c>
      <c r="K154" s="2" t="inlineStr">
        <is>
          <t>Đ</t>
        </is>
      </c>
      <c r="L154" s="2" t="inlineStr"/>
      <c r="M154" s="2" t="inlineStr">
        <is>
          <t>Evidence: evidence/UC-20/TC-20-05.json</t>
        </is>
      </c>
      <c r="N154" s="2" t="inlineStr">
        <is>
          <t>Claude (chạy tự động)</t>
        </is>
      </c>
      <c r="O154" s="2" t="inlineStr">
        <is>
          <t>2026-10-18</t>
        </is>
      </c>
    </row>
    <row r="155">
      <c r="A155" s="2" t="inlineStr">
        <is>
          <t>TC-20-06</t>
        </is>
      </c>
      <c r="B155" s="2" t="inlineStr">
        <is>
          <t>UC-20</t>
        </is>
      </c>
      <c r="C155" s="2" t="inlineStr">
        <is>
          <t>AC-20.5</t>
        </is>
      </c>
      <c r="D155" s="2" t="inlineStr">
        <is>
          <t>Chính</t>
        </is>
      </c>
      <c r="E155" s="2" t="inlineStr">
        <is>
          <t>P2</t>
        </is>
      </c>
      <c r="F155" s="2" t="inlineStr">
        <is>
          <t>truongphong</t>
        </is>
      </c>
      <c r="G155" s="2" t="inlineStr">
        <is>
          <t>Mở thống kê việc.</t>
        </is>
      </c>
      <c r="H155" s="2" t="inlineStr">
        <is>
          <t>Theo trạng thái; tỷ lệ chậm, chưa đạt; theo đơn vị; xuất danh sách việc có lọc theo loại.</t>
        </is>
      </c>
      <c r="I155" s="2" t="inlineStr">
        <is>
          <t>app.e2e-spec.ts</t>
        </is>
      </c>
      <c r="J155" s="2" t="inlineStr">
        <is>
          <t>4/4 điều kiện đạt</t>
        </is>
      </c>
      <c r="K155" s="2" t="inlineStr">
        <is>
          <t>Đ</t>
        </is>
      </c>
      <c r="L155" s="2" t="inlineStr"/>
      <c r="M155" s="2" t="inlineStr">
        <is>
          <t>Evidence: evidence/UC-20/TC-20-06.json</t>
        </is>
      </c>
      <c r="N155" s="2" t="inlineStr">
        <is>
          <t>Claude (chạy tự động)</t>
        </is>
      </c>
      <c r="O155" s="2" t="inlineStr">
        <is>
          <t>2026-10-18</t>
        </is>
      </c>
    </row>
    <row r="156">
      <c r="A156" s="2" t="inlineStr">
        <is>
          <t>TC-20-07</t>
        </is>
      </c>
      <c r="B156" s="2" t="inlineStr">
        <is>
          <t>UC-20</t>
        </is>
      </c>
      <c r="C156" s="2" t="inlineStr">
        <is>
          <t>AC-20.1</t>
        </is>
      </c>
      <c r="D156" s="2" t="inlineStr">
        <is>
          <t>Biên</t>
        </is>
      </c>
      <c r="E156" s="2" t="inlineStr">
        <is>
          <t>P2</t>
        </is>
      </c>
      <c r="F156" s="2" t="inlineStr">
        <is>
          <t>truongphong</t>
        </is>
      </c>
      <c r="G156" s="2" t="inlineStr">
        <is>
          <t>Báo cáo của phạm vi bị giới hạn.</t>
        </is>
      </c>
      <c r="H156" s="2" t="inlineStr">
        <is>
          <t>Có ghi rõ phạm vi giới hạn, không gây hiểu nhầm là toàn Ban.</t>
        </is>
      </c>
      <c r="I156" s="2" t="inlineStr">
        <is>
          <t>app.e2e-spec.ts</t>
        </is>
      </c>
      <c r="J156" s="2" t="inlineStr">
        <is>
          <t>2/2 điều kiện đạt</t>
        </is>
      </c>
      <c r="K156" s="2" t="inlineStr">
        <is>
          <t>Đ</t>
        </is>
      </c>
      <c r="L156" s="2" t="inlineStr"/>
      <c r="M156" s="2" t="inlineStr">
        <is>
          <t>Evidence: evidence/UC-20/TC-20-07.json</t>
        </is>
      </c>
      <c r="N156" s="2" t="inlineStr">
        <is>
          <t>Claude (chạy tự động)</t>
        </is>
      </c>
      <c r="O156" s="2" t="inlineStr">
        <is>
          <t>2026-10-18</t>
        </is>
      </c>
    </row>
    <row r="157">
      <c r="A157" s="2" t="inlineStr">
        <is>
          <t>TC-21-01</t>
        </is>
      </c>
      <c r="B157" s="2" t="inlineStr">
        <is>
          <t>UC-21</t>
        </is>
      </c>
      <c r="C157" s="2" t="inlineStr">
        <is>
          <t>AC-21.1, AC-21.2</t>
        </is>
      </c>
      <c r="D157" s="2" t="inlineStr">
        <is>
          <t>Chính</t>
        </is>
      </c>
      <c r="E157" s="2" t="inlineStr">
        <is>
          <t>P1</t>
        </is>
      </c>
      <c r="F157" s="2" t="inlineStr">
        <is>
          <t>truongban</t>
        </is>
      </c>
      <c r="G157" s="2" t="inlineStr">
        <is>
          <t>`/reports` mục Dự thảo, chọn kỳ có hồ sơ đã duyệt; tải Word (báo cáo).</t>
        </is>
      </c>
      <c r="H157" s="2" t="inlineStr">
        <is>
          <t>Tệp .docx mở được; đầu tệp có dòng đỏ "DỰ THẢO, chỉ để tham khảo"; chân trang "DỰ THẢO – chưa ban hành"; số liệu khớp hệ thống; số, ngày, người ký để trống.</t>
        </is>
      </c>
      <c r="I157" s="2" t="inlineStr">
        <is>
          <t>app.e2e-spec.ts</t>
        </is>
      </c>
      <c r="J157" s="2" t="inlineStr">
        <is>
          <t>6/6 điều kiện đạt</t>
        </is>
      </c>
      <c r="K157" s="2" t="inlineStr">
        <is>
          <t>Đ</t>
        </is>
      </c>
      <c r="L157" s="2" t="inlineStr"/>
      <c r="M157" s="2" t="inlineStr">
        <is>
          <t>Evidence: evidence/UC-21/TC-21-01.json</t>
        </is>
      </c>
      <c r="N157" s="2" t="inlineStr">
        <is>
          <t>Claude (chạy tự động)</t>
        </is>
      </c>
      <c r="O157" s="2" t="inlineStr">
        <is>
          <t>2026-10-18</t>
        </is>
      </c>
    </row>
    <row r="158">
      <c r="A158" s="2" t="inlineStr">
        <is>
          <t>TC-21-02</t>
        </is>
      </c>
      <c r="B158" s="2" t="inlineStr">
        <is>
          <t>UC-21</t>
        </is>
      </c>
      <c r="C158" s="2" t="inlineStr">
        <is>
          <t>AC-21.1</t>
        </is>
      </c>
      <c r="D158" s="2" t="inlineStr">
        <is>
          <t>Chính</t>
        </is>
      </c>
      <c r="E158" s="2" t="inlineStr">
        <is>
          <t>P2</t>
        </is>
      </c>
      <c r="F158" s="2" t="inlineStr">
        <is>
          <t>truongban</t>
        </is>
      </c>
      <c r="G158" s="2" t="inlineStr">
        <is>
          <t>Tải dự thảo quyết định công nhận xếp loại.</t>
        </is>
      </c>
      <c r="H158" s="2" t="inlineStr">
        <is>
          <t>Danh sách người và xếp loại đúng hồ sơ đã duyệt, không chứa hồ sơ chưa duyệt.</t>
        </is>
      </c>
      <c r="I158" s="2" t="inlineStr">
        <is>
          <t>app.e2e-spec.ts</t>
        </is>
      </c>
      <c r="J158" s="2" t="inlineStr">
        <is>
          <t>3/3 điều kiện đạt</t>
        </is>
      </c>
      <c r="K158" s="2" t="inlineStr">
        <is>
          <t>Đ</t>
        </is>
      </c>
      <c r="L158" s="2" t="inlineStr"/>
      <c r="M158" s="2" t="inlineStr">
        <is>
          <t>Evidence: evidence/UC-21/TC-21-02.json</t>
        </is>
      </c>
      <c r="N158" s="2" t="inlineStr">
        <is>
          <t>Claude (chạy tự động)</t>
        </is>
      </c>
      <c r="O158" s="2" t="inlineStr">
        <is>
          <t>2026-10-18</t>
        </is>
      </c>
    </row>
    <row r="159">
      <c r="A159" s="2" t="inlineStr">
        <is>
          <t>TC-21-03</t>
        </is>
      </c>
      <c r="B159" s="2" t="inlineStr">
        <is>
          <t>UC-21</t>
        </is>
      </c>
      <c r="C159" s="2" t="inlineStr">
        <is>
          <t>AC-21.3</t>
        </is>
      </c>
      <c r="D159" s="2" t="inlineStr">
        <is>
          <t>Âm</t>
        </is>
      </c>
      <c r="E159" s="2" t="inlineStr">
        <is>
          <t>P1</t>
        </is>
      </c>
      <c r="F159" s="2" t="inlineStr">
        <is>
          <t>chuyenvien</t>
        </is>
      </c>
      <c r="G159" s="2" t="inlineStr">
        <is>
          <t>Gọi API dự thảo.</t>
        </is>
      </c>
      <c r="H159" s="2" t="inlineStr">
        <is>
          <t>403.</t>
        </is>
      </c>
      <c r="I159" s="2" t="inlineStr">
        <is>
          <t>app.e2e-spec.ts</t>
        </is>
      </c>
      <c r="J159" s="2" t="inlineStr">
        <is>
          <t>2/2 điều kiện đạt</t>
        </is>
      </c>
      <c r="K159" s="2" t="inlineStr">
        <is>
          <t>Đ</t>
        </is>
      </c>
      <c r="L159" s="2" t="inlineStr"/>
      <c r="M159" s="2" t="inlineStr">
        <is>
          <t>Evidence: evidence/UC-21/TC-21-03.json</t>
        </is>
      </c>
      <c r="N159" s="2" t="inlineStr">
        <is>
          <t>Claude (chạy tự động)</t>
        </is>
      </c>
      <c r="O159" s="2" t="inlineStr">
        <is>
          <t>2026-10-18</t>
        </is>
      </c>
    </row>
    <row r="160">
      <c r="A160" s="2" t="inlineStr">
        <is>
          <t>TC-21-04</t>
        </is>
      </c>
      <c r="B160" s="2" t="inlineStr">
        <is>
          <t>UC-21</t>
        </is>
      </c>
      <c r="C160" s="2" t="inlineStr">
        <is>
          <t>AC-21.1</t>
        </is>
      </c>
      <c r="D160" s="2" t="inlineStr">
        <is>
          <t>Chính</t>
        </is>
      </c>
      <c r="E160" s="2" t="inlineStr">
        <is>
          <t>P3</t>
        </is>
      </c>
      <c r="F160" s="2" t="inlineStr">
        <is>
          <t>vanphong</t>
        </is>
      </c>
      <c r="G160" s="2" t="inlineStr">
        <is>
          <t>Kiểm nhật ký sau khi tải.</t>
        </is>
      </c>
      <c r="H160" s="2" t="inlineStr">
        <is>
          <t>Có `report.draft.export`; không ghi tên cán bộ.</t>
        </is>
      </c>
      <c r="I160" s="2" t="inlineStr">
        <is>
          <t>app.e2e-spec.ts</t>
        </is>
      </c>
      <c r="J160" s="2" t="inlineStr">
        <is>
          <t>2/2 điều kiện đạt</t>
        </is>
      </c>
      <c r="K160" s="2" t="inlineStr">
        <is>
          <t>Đ</t>
        </is>
      </c>
      <c r="L160" s="2" t="inlineStr"/>
      <c r="M160" s="2" t="inlineStr">
        <is>
          <t>Evidence: evidence/UC-21/TC-21-04.json</t>
        </is>
      </c>
      <c r="N160" s="2" t="inlineStr">
        <is>
          <t>Claude (chạy tự động)</t>
        </is>
      </c>
      <c r="O160" s="2" t="inlineStr">
        <is>
          <t>2026-10-18</t>
        </is>
      </c>
    </row>
    <row r="161">
      <c r="A161" s="2" t="inlineStr">
        <is>
          <t>TC-22-01</t>
        </is>
      </c>
      <c r="B161" s="2" t="inlineStr">
        <is>
          <t>UC-22</t>
        </is>
      </c>
      <c r="C161" s="2" t="inlineStr">
        <is>
          <t>AC-22.1, AC-22.6</t>
        </is>
      </c>
      <c r="D161" s="2" t="inlineStr">
        <is>
          <t>Chính</t>
        </is>
      </c>
      <c r="E161" s="2" t="inlineStr">
        <is>
          <t>P1</t>
        </is>
      </c>
      <c r="F161" s="2" t="inlineStr">
        <is>
          <t>quantridulieu</t>
        </is>
      </c>
      <c r="G161" s="2" t="inlineStr">
        <is>
          <t>Thực hiện một chuỗi thao tác (đăng nhập sai, tạo việc, thẩm định, phê duyệt, hủy kết quả); mở `/audit-logs` lọc theo module, loại.</t>
        </is>
      </c>
      <c r="H161" s="2" t="inlineStr">
        <is>
          <t>Mọi thao tác có bản ghi: người, thời điểm, hành động, đối tượng, IP, mã yêu cầu; lọc theo module, loại hoạt động.</t>
        </is>
      </c>
      <c r="I161" s="2" t="inlineStr">
        <is>
          <t>app.e2e-spec.ts</t>
        </is>
      </c>
      <c r="J161" s="2" t="inlineStr">
        <is>
          <t>11/11 điều kiện đạt</t>
        </is>
      </c>
      <c r="K161" s="2" t="inlineStr">
        <is>
          <t>Đ</t>
        </is>
      </c>
      <c r="L161" s="2" t="inlineStr"/>
      <c r="M161" s="2" t="inlineStr">
        <is>
          <t>Evidence: evidence/UC-22/TC-22-01.json</t>
        </is>
      </c>
      <c r="N161" s="2" t="inlineStr">
        <is>
          <t>Claude (chạy tự động)</t>
        </is>
      </c>
      <c r="O161" s="2" t="inlineStr">
        <is>
          <t>2026-10-18</t>
        </is>
      </c>
    </row>
    <row r="162">
      <c r="A162" s="2" t="inlineStr">
        <is>
          <t>TC-22-02</t>
        </is>
      </c>
      <c r="B162" s="2" t="inlineStr">
        <is>
          <t>UC-22</t>
        </is>
      </c>
      <c r="C162" s="2" t="inlineStr">
        <is>
          <t>AC-22.2</t>
        </is>
      </c>
      <c r="D162" s="2" t="inlineStr">
        <is>
          <t>Chính</t>
        </is>
      </c>
      <c r="E162" s="2" t="inlineStr">
        <is>
          <t>P1</t>
        </is>
      </c>
      <c r="F162" s="2" t="inlineStr">
        <is>
          <t>quantridulieu</t>
        </is>
      </c>
      <c r="G162" s="2" t="inlineStr">
        <is>
          <t>Xem bản ghi thay đổi dữ liệu; tìm chuỗi mật khẩu vừa nhập sai.</t>
        </is>
      </c>
      <c r="H162" s="2" t="inlineStr">
        <is>
          <t>Có giá trị trước, sau; không thấy mật khẩu, token, khóa.</t>
        </is>
      </c>
      <c r="I162" s="2" t="inlineStr">
        <is>
          <t>audit.spec.ts</t>
        </is>
      </c>
      <c r="J162" s="2" t="inlineStr">
        <is>
          <t>8/8 điều kiện đạt</t>
        </is>
      </c>
      <c r="K162" s="2" t="inlineStr">
        <is>
          <t>Đ</t>
        </is>
      </c>
      <c r="L162" s="2" t="inlineStr"/>
      <c r="M162" s="2" t="inlineStr">
        <is>
          <t>Evidence: evidence/UC-22/TC-22-02.json</t>
        </is>
      </c>
      <c r="N162" s="2" t="inlineStr">
        <is>
          <t>Claude (chạy tự động)</t>
        </is>
      </c>
      <c r="O162" s="2" t="inlineStr">
        <is>
          <t>2026-10-18</t>
        </is>
      </c>
    </row>
    <row r="163">
      <c r="A163" s="2" t="inlineStr">
        <is>
          <t>TC-22-03</t>
        </is>
      </c>
      <c r="B163" s="2" t="inlineStr">
        <is>
          <t>UC-22</t>
        </is>
      </c>
      <c r="C163" s="2" t="inlineStr">
        <is>
          <t>AC-22.3</t>
        </is>
      </c>
      <c r="D163" s="2" t="inlineStr">
        <is>
          <t>Âm</t>
        </is>
      </c>
      <c r="E163" s="2" t="inlineStr">
        <is>
          <t>P1</t>
        </is>
      </c>
      <c r="F163" s="2" t="inlineStr">
        <is>
          <t>(quản trị CSDL)</t>
        </is>
      </c>
      <c r="G163" s="2" t="inlineStr">
        <is>
          <t>Trên bản sao CSDL: `UPDATE audit_log SET ...`, `DELETE FROM audit_log`, `TRUNCATE audit_log`.</t>
        </is>
      </c>
      <c r="H163" s="2" t="inlineStr">
        <is>
          <t>Cả ba bị trigger chặn.</t>
        </is>
      </c>
      <c r="I163" s="2" t="inlineStr">
        <is>
          <t>app.e2e-spec.ts</t>
        </is>
      </c>
      <c r="J163" s="2" t="inlineStr">
        <is>
          <t>4/4 điều kiện đạt</t>
        </is>
      </c>
      <c r="K163" s="2" t="inlineStr">
        <is>
          <t>Đ</t>
        </is>
      </c>
      <c r="L163" s="2" t="inlineStr"/>
      <c r="M163" s="2" t="inlineStr">
        <is>
          <t>Evidence: evidence/UC-22/TC-22-03.json</t>
        </is>
      </c>
      <c r="N163" s="2" t="inlineStr">
        <is>
          <t>Claude (chạy tự động)</t>
        </is>
      </c>
      <c r="O163" s="2" t="inlineStr">
        <is>
          <t>2026-10-18</t>
        </is>
      </c>
    </row>
    <row r="164">
      <c r="A164" s="2" t="inlineStr">
        <is>
          <t>TC-22-04</t>
        </is>
      </c>
      <c r="B164" s="2" t="inlineStr">
        <is>
          <t>UC-22</t>
        </is>
      </c>
      <c r="C164" s="2" t="inlineStr">
        <is>
          <t>AC-22.4</t>
        </is>
      </c>
      <c r="D164" s="2" t="inlineStr">
        <is>
          <t>Chính</t>
        </is>
      </c>
      <c r="E164" s="2" t="inlineStr">
        <is>
          <t>P1</t>
        </is>
      </c>
      <c r="F164" s="2" t="inlineStr">
        <is>
          <t>quantridulieu</t>
        </is>
      </c>
      <c r="G164" s="2" t="inlineStr">
        <is>
          <t>Dùng chức năng kiểm tra toàn vẹn chuỗi; trên bản sao tạm vô hiệu trigger và sửa một dòng giữa chuỗi, kiểm tra lại.</t>
        </is>
      </c>
      <c r="H164" s="2" t="inlineStr">
        <is>
          <t>Trước: toàn vẹn; sau sửa: báo đứt chuỗi đúng vị trí.</t>
        </is>
      </c>
      <c r="I164" s="2" t="inlineStr">
        <is>
          <t>audit.spec.ts</t>
        </is>
      </c>
      <c r="J164" s="2" t="inlineStr">
        <is>
          <t>7/7 điều kiện đạt</t>
        </is>
      </c>
      <c r="K164" s="2" t="inlineStr">
        <is>
          <t>Đ</t>
        </is>
      </c>
      <c r="L164" s="2" t="inlineStr"/>
      <c r="M164" s="2" t="inlineStr">
        <is>
          <t>Evidence: evidence/UC-22/TC-22-04.json</t>
        </is>
      </c>
      <c r="N164" s="2" t="inlineStr">
        <is>
          <t>Claude (chạy tự động)</t>
        </is>
      </c>
      <c r="O164" s="2" t="inlineStr">
        <is>
          <t>2026-10-18</t>
        </is>
      </c>
    </row>
    <row r="165">
      <c r="A165" s="2" t="inlineStr">
        <is>
          <t>TC-22-05</t>
        </is>
      </c>
      <c r="B165" s="2" t="inlineStr">
        <is>
          <t>UC-22</t>
        </is>
      </c>
      <c r="C165" s="2" t="inlineStr">
        <is>
          <t>AC-22.5</t>
        </is>
      </c>
      <c r="D165" s="2" t="inlineStr">
        <is>
          <t>Âm</t>
        </is>
      </c>
      <c r="E165" s="2" t="inlineStr">
        <is>
          <t>P1</t>
        </is>
      </c>
      <c r="F165" s="2" t="inlineStr">
        <is>
          <t>quantri</t>
        </is>
      </c>
      <c r="G165" s="2" t="inlineStr">
        <is>
          <t>Mở `/audit-logs`; gọi `GET /api/audit/...`.</t>
        </is>
      </c>
      <c r="H165" s="2" t="inlineStr">
        <is>
          <t>403.</t>
        </is>
      </c>
      <c r="I165" s="2" t="inlineStr">
        <is>
          <t>app.e2e-spec.ts</t>
        </is>
      </c>
      <c r="J165" s="2" t="inlineStr">
        <is>
          <t>6/6 điều kiện đạt</t>
        </is>
      </c>
      <c r="K165" s="2" t="inlineStr">
        <is>
          <t>Đ</t>
        </is>
      </c>
      <c r="L165" s="2" t="inlineStr"/>
      <c r="M165" s="2" t="inlineStr">
        <is>
          <t>Evidence: evidence/UC-22/TC-22-05.json</t>
        </is>
      </c>
      <c r="N165" s="2" t="inlineStr">
        <is>
          <t>Claude (chạy tự động)</t>
        </is>
      </c>
      <c r="O165" s="2" t="inlineStr">
        <is>
          <t>2026-10-18</t>
        </is>
      </c>
    </row>
    <row r="166">
      <c r="A166" s="2" t="inlineStr">
        <is>
          <t>TC-22-06</t>
        </is>
      </c>
      <c r="B166" s="2" t="inlineStr">
        <is>
          <t>UC-22</t>
        </is>
      </c>
      <c r="C166" s="2" t="inlineStr">
        <is>
          <t>AC-22.1</t>
        </is>
      </c>
      <c r="D166" s="2" t="inlineStr">
        <is>
          <t>Chính</t>
        </is>
      </c>
      <c r="E166" s="2" t="inlineStr">
        <is>
          <t>P2</t>
        </is>
      </c>
      <c r="F166" s="2" t="inlineStr">
        <is>
          <t>quantridulieu</t>
        </is>
      </c>
      <c r="G166" s="2" t="inlineStr">
        <is>
          <t>Mở lịch sử thay đổi của một hồ sơ.</t>
        </is>
      </c>
      <c r="H166" s="2" t="inlineStr">
        <is>
          <t>Dòng thời gian của đối tượng, có trước và sau.</t>
        </is>
      </c>
      <c r="I166" s="2" t="inlineStr">
        <is>
          <t>app.e2e-spec.ts</t>
        </is>
      </c>
      <c r="J166" s="2" t="inlineStr">
        <is>
          <t>3/3 điều kiện đạt</t>
        </is>
      </c>
      <c r="K166" s="2" t="inlineStr">
        <is>
          <t>Đ</t>
        </is>
      </c>
      <c r="L166" s="2" t="inlineStr"/>
      <c r="M166" s="2" t="inlineStr">
        <is>
          <t>Evidence: evidence/UC-22/TC-22-06.json</t>
        </is>
      </c>
      <c r="N166" s="2" t="inlineStr">
        <is>
          <t>Claude (chạy tự động)</t>
        </is>
      </c>
      <c r="O166" s="2" t="inlineStr">
        <is>
          <t>2026-10-18</t>
        </is>
      </c>
    </row>
    <row r="167">
      <c r="A167" s="2" t="inlineStr">
        <is>
          <t>TC-23-01</t>
        </is>
      </c>
      <c r="B167" s="2" t="inlineStr">
        <is>
          <t>UC-23</t>
        </is>
      </c>
      <c r="C167" s="2" t="inlineStr">
        <is>
          <t>AC-23.1</t>
        </is>
      </c>
      <c r="D167" s="2" t="inlineStr">
        <is>
          <t>Chính</t>
        </is>
      </c>
      <c r="E167" s="2" t="inlineStr">
        <is>
          <t>P1</t>
        </is>
      </c>
      <c r="F167" s="2" t="inlineStr">
        <is>
          <t>quantri</t>
        </is>
      </c>
      <c r="G167" s="2" t="inlineStr">
        <is>
          <t>Vào `/access-reviews`, tạo đợt cho quý hiện tại; thử tạo đợt thứ hai cùng quý.</t>
        </is>
      </c>
      <c r="H167" s="2" t="inlineStr">
        <is>
          <t>Đợt đầu tạo được với các mục theo vai trò đang hiệu lực; đợt thứ hai bị từ chối.</t>
        </is>
      </c>
      <c r="I167" s="2" t="inlineStr">
        <is>
          <t>app.e2e-spec.ts</t>
        </is>
      </c>
      <c r="J167" s="2" t="inlineStr">
        <is>
          <t>6/6 điều kiện đạt</t>
        </is>
      </c>
      <c r="K167" s="2" t="inlineStr">
        <is>
          <t>Đ</t>
        </is>
      </c>
      <c r="L167" s="2" t="inlineStr"/>
      <c r="M167" s="2" t="inlineStr">
        <is>
          <t>Evidence: evidence/UC-23/TC-23-01.json</t>
        </is>
      </c>
      <c r="N167" s="2" t="inlineStr">
        <is>
          <t>Claude (chạy tự động)</t>
        </is>
      </c>
      <c r="O167" s="2" t="inlineStr">
        <is>
          <t>2026-10-18</t>
        </is>
      </c>
    </row>
    <row r="168">
      <c r="A168" s="2" t="inlineStr">
        <is>
          <t>TC-23-02</t>
        </is>
      </c>
      <c r="B168" s="2" t="inlineStr">
        <is>
          <t>UC-23</t>
        </is>
      </c>
      <c r="C168" s="2" t="inlineStr">
        <is>
          <t>AC-23.2</t>
        </is>
      </c>
      <c r="D168" s="2" t="inlineStr">
        <is>
          <t>Chính</t>
        </is>
      </c>
      <c r="E168" s="2" t="inlineStr">
        <is>
          <t>P1</t>
        </is>
      </c>
      <c r="F168" s="2" t="inlineStr">
        <is>
          <t>truongphong</t>
        </is>
      </c>
      <c r="G168" s="2" t="inlineStr">
        <is>
          <t>Xác nhận Giữ mục của chuyenvien phòng mình.</t>
        </is>
      </c>
      <c r="H168" s="2" t="inlineStr">
        <is>
          <t>Thành công, có nhật ký.</t>
        </is>
      </c>
      <c r="I168" s="2" t="inlineStr">
        <is>
          <t>app.e2e-spec.ts</t>
        </is>
      </c>
      <c r="J168" s="2" t="inlineStr">
        <is>
          <t>3/3 điều kiện đạt</t>
        </is>
      </c>
      <c r="K168" s="2" t="inlineStr">
        <is>
          <t>Đ</t>
        </is>
      </c>
      <c r="L168" s="2" t="inlineStr"/>
      <c r="M168" s="2" t="inlineStr">
        <is>
          <t>Evidence: evidence/UC-23/TC-23-02.json</t>
        </is>
      </c>
      <c r="N168" s="2" t="inlineStr">
        <is>
          <t>Claude (chạy tự động)</t>
        </is>
      </c>
      <c r="O168" s="2" t="inlineStr">
        <is>
          <t>2026-10-18</t>
        </is>
      </c>
    </row>
    <row r="169">
      <c r="A169" s="2" t="inlineStr">
        <is>
          <t>TC-23-03</t>
        </is>
      </c>
      <c r="B169" s="2" t="inlineStr">
        <is>
          <t>UC-23</t>
        </is>
      </c>
      <c r="C169" s="2" t="inlineStr">
        <is>
          <t>AC-23.2</t>
        </is>
      </c>
      <c r="D169" s="2" t="inlineStr">
        <is>
          <t>Âm</t>
        </is>
      </c>
      <c r="E169" s="2" t="inlineStr">
        <is>
          <t>P1</t>
        </is>
      </c>
      <c r="F169" s="2" t="inlineStr">
        <is>
          <t>quantri</t>
        </is>
      </c>
      <c r="G169" s="2" t="inlineStr">
        <is>
          <t>Cố xác nhận một mục; cố xác nhận mục của chính mình (nếu có).</t>
        </is>
      </c>
      <c r="H169" s="2" t="inlineStr">
        <is>
          <t>Bị từ chối.</t>
        </is>
      </c>
      <c r="I169" s="2" t="inlineStr">
        <is>
          <t>tests đơn vị cùng mô-đun</t>
        </is>
      </c>
      <c r="J169" s="2" t="inlineStr">
        <is>
          <t>3/3 điều kiện đạt</t>
        </is>
      </c>
      <c r="K169" s="2" t="inlineStr">
        <is>
          <t>Đ</t>
        </is>
      </c>
      <c r="L169" s="2" t="inlineStr"/>
      <c r="M169" s="2" t="inlineStr">
        <is>
          <t>Evidence: evidence/UC-23/TC-23-03.json</t>
        </is>
      </c>
      <c r="N169" s="2" t="inlineStr">
        <is>
          <t>Claude (chạy tự động)</t>
        </is>
      </c>
      <c r="O169" s="2" t="inlineStr">
        <is>
          <t>2026-10-18</t>
        </is>
      </c>
    </row>
    <row r="170">
      <c r="A170" s="2" t="inlineStr">
        <is>
          <t>TC-23-04</t>
        </is>
      </c>
      <c r="B170" s="2" t="inlineStr">
        <is>
          <t>UC-23</t>
        </is>
      </c>
      <c r="C170" s="2" t="inlineStr">
        <is>
          <t>AC-23.3</t>
        </is>
      </c>
      <c r="D170" s="2" t="inlineStr">
        <is>
          <t>Chính</t>
        </is>
      </c>
      <c r="E170" s="2" t="inlineStr">
        <is>
          <t>P1</t>
        </is>
      </c>
      <c r="F170" s="2" t="inlineStr">
        <is>
          <t>truongphong, chuyenvien</t>
        </is>
      </c>
      <c r="G170" s="2" t="inlineStr">
        <is>
          <t>Thu hồi quyền một người không lý do; sau đó có lý do.</t>
        </is>
      </c>
      <c r="H170" s="2" t="inlineStr">
        <is>
          <t>Không lý do: từ chối; có lý do: thu hồi ngay (nhật ký `role.revoke`), người đó mất quyền ngay.</t>
        </is>
      </c>
      <c r="I170" s="2" t="inlineStr">
        <is>
          <t>app.e2e-spec.ts</t>
        </is>
      </c>
      <c r="J170" s="2" t="inlineStr">
        <is>
          <t>5/5 điều kiện đạt</t>
        </is>
      </c>
      <c r="K170" s="2" t="inlineStr">
        <is>
          <t>Đ</t>
        </is>
      </c>
      <c r="L170" s="2" t="inlineStr"/>
      <c r="M170" s="2" t="inlineStr">
        <is>
          <t>Evidence: evidence/UC-23/TC-23-04.json</t>
        </is>
      </c>
      <c r="N170" s="2" t="inlineStr">
        <is>
          <t>Claude (chạy tự động)</t>
        </is>
      </c>
      <c r="O170" s="2" t="inlineStr">
        <is>
          <t>2026-10-18</t>
        </is>
      </c>
    </row>
    <row r="171">
      <c r="A171" s="2" t="inlineStr">
        <is>
          <t>TC-23-05</t>
        </is>
      </c>
      <c r="B171" s="2" t="inlineStr">
        <is>
          <t>UC-23</t>
        </is>
      </c>
      <c r="C171" s="2" t="inlineStr">
        <is>
          <t>AC-23.2</t>
        </is>
      </c>
      <c r="D171" s="2" t="inlineStr">
        <is>
          <t>Chính</t>
        </is>
      </c>
      <c r="E171" s="2" t="inlineStr">
        <is>
          <t>P2</t>
        </is>
      </c>
      <c r="F171" s="2" t="inlineStr">
        <is>
          <t>quantridulieu</t>
        </is>
      </c>
      <c r="G171" s="2" t="inlineStr">
        <is>
          <t>Xác nhận mục không có lãnh đạo phụ trách (tài khoản quản trị, Trưởng ban).</t>
        </is>
      </c>
      <c r="H171" s="2" t="inlineStr">
        <is>
          <t>Thực hiện được.</t>
        </is>
      </c>
      <c r="I171" s="2" t="inlineStr">
        <is>
          <t>app.e2e-spec.ts</t>
        </is>
      </c>
      <c r="J171" s="2" t="inlineStr">
        <is>
          <t>1/1 điều kiện đạt</t>
        </is>
      </c>
      <c r="K171" s="2" t="inlineStr">
        <is>
          <t>Đ</t>
        </is>
      </c>
      <c r="L171" s="2" t="inlineStr"/>
      <c r="M171" s="2" t="inlineStr">
        <is>
          <t>Evidence: evidence/UC-23/TC-23-05.json</t>
        </is>
      </c>
      <c r="N171" s="2" t="inlineStr">
        <is>
          <t>Claude (chạy tự động)</t>
        </is>
      </c>
      <c r="O171" s="2" t="inlineStr">
        <is>
          <t>2026-10-18</t>
        </is>
      </c>
    </row>
    <row r="172">
      <c r="A172" s="2" t="inlineStr">
        <is>
          <t>TC-23-06</t>
        </is>
      </c>
      <c r="B172" s="2" t="inlineStr">
        <is>
          <t>UC-23</t>
        </is>
      </c>
      <c r="C172" s="2" t="inlineStr">
        <is>
          <t>AC-23.4</t>
        </is>
      </c>
      <c r="D172" s="2" t="inlineStr">
        <is>
          <t>Chính</t>
        </is>
      </c>
      <c r="E172" s="2" t="inlineStr">
        <is>
          <t>P2</t>
        </is>
      </c>
      <c r="F172" s="2" t="inlineStr">
        <is>
          <t>quantri</t>
        </is>
      </c>
      <c r="G172" s="2" t="inlineStr">
        <is>
          <t>Đóng đợt còn mục chưa xác nhận; thử xác nhận tiếp.</t>
        </is>
      </c>
      <c r="H172" s="2" t="inlineStr">
        <is>
          <t>Đóng được, mục chưa xác nhận liệt kê trong báo cáo; xác nhận tiếp bị từ chối.</t>
        </is>
      </c>
      <c r="I172" s="2" t="inlineStr">
        <is>
          <t>app.e2e-spec.ts</t>
        </is>
      </c>
      <c r="J172" s="2" t="inlineStr">
        <is>
          <t>3/3 điều kiện đạt</t>
        </is>
      </c>
      <c r="K172" s="2" t="inlineStr">
        <is>
          <t>Đ</t>
        </is>
      </c>
      <c r="L172" s="2" t="inlineStr"/>
      <c r="M172" s="2" t="inlineStr">
        <is>
          <t>Evidence: evidence/UC-23/TC-23-06.json</t>
        </is>
      </c>
      <c r="N172" s="2" t="inlineStr">
        <is>
          <t>Claude (chạy tự động)</t>
        </is>
      </c>
      <c r="O172" s="2" t="inlineStr">
        <is>
          <t>2026-10-18</t>
        </is>
      </c>
    </row>
    <row r="173">
      <c r="A173" s="2" t="inlineStr">
        <is>
          <t>TC-23-07</t>
        </is>
      </c>
      <c r="B173" s="2" t="inlineStr">
        <is>
          <t>UC-23</t>
        </is>
      </c>
      <c r="C173" s="2" t="inlineStr">
        <is>
          <t>AC-23.1</t>
        </is>
      </c>
      <c r="D173" s="2" t="inlineStr">
        <is>
          <t>Chính</t>
        </is>
      </c>
      <c r="E173" s="2" t="inlineStr">
        <is>
          <t>P3</t>
        </is>
      </c>
      <c r="F173" s="2" t="inlineStr">
        <is>
          <t>quantri</t>
        </is>
      </c>
      <c r="G173" s="2" t="inlineStr">
        <is>
          <t>Xuất Excel đợt rà soát.</t>
        </is>
      </c>
      <c r="H173" s="2" t="inlineStr">
        <is>
          <t>Có trang tóm tắt và chi tiết từng vai trò; nhật ký loại xuất.</t>
        </is>
      </c>
      <c r="I173" s="2" t="inlineStr">
        <is>
          <t>app.e2e-spec.ts</t>
        </is>
      </c>
      <c r="J173" s="2" t="inlineStr">
        <is>
          <t>4/4 điều kiện đạt</t>
        </is>
      </c>
      <c r="K173" s="2" t="inlineStr">
        <is>
          <t>Đ</t>
        </is>
      </c>
      <c r="L173" s="2" t="inlineStr"/>
      <c r="M173" s="2" t="inlineStr">
        <is>
          <t>Evidence: evidence/UC-23/TC-23-07.json</t>
        </is>
      </c>
      <c r="N173" s="2" t="inlineStr">
        <is>
          <t>Claude (chạy tự động)</t>
        </is>
      </c>
      <c r="O173" s="2" t="inlineStr">
        <is>
          <t>2026-10-18</t>
        </is>
      </c>
    </row>
    <row r="174">
      <c r="A174" s="2" t="inlineStr">
        <is>
          <t>TC-24-01</t>
        </is>
      </c>
      <c r="B174" s="2" t="inlineStr">
        <is>
          <t>UC-24</t>
        </is>
      </c>
      <c r="C174" s="2" t="inlineStr">
        <is>
          <t>AC-24.1</t>
        </is>
      </c>
      <c r="D174" s="2" t="inlineStr">
        <is>
          <t>Chính</t>
        </is>
      </c>
      <c r="E174" s="2" t="inlineStr">
        <is>
          <t>P2</t>
        </is>
      </c>
      <c r="F174" s="2" t="inlineStr">
        <is>
          <t>vanphong, chuyenvien</t>
        </is>
      </c>
      <c r="G174" s="2" t="inlineStr">
        <is>
          <t>vanphong đăng tài liệu kèm PDF; chuyenvien mở và tải.</t>
        </is>
      </c>
      <c r="H174" s="2" t="inlineStr">
        <is>
          <t>Tải về đúng nội dung (so sánh băm); lọc và phân trang hoạt động.</t>
        </is>
      </c>
      <c r="I174" s="2" t="inlineStr">
        <is>
          <t>app.e2e-spec.ts</t>
        </is>
      </c>
      <c r="J174" s="2" t="inlineStr">
        <is>
          <t>7/7 điều kiện đạt</t>
        </is>
      </c>
      <c r="K174" s="2" t="inlineStr">
        <is>
          <t>Đ</t>
        </is>
      </c>
      <c r="L174" s="2" t="inlineStr"/>
      <c r="M174" s="2" t="inlineStr">
        <is>
          <t>Evidence: evidence/UC-24/TC-24-01.json</t>
        </is>
      </c>
      <c r="N174" s="2" t="inlineStr">
        <is>
          <t>Claude (chạy tự động)</t>
        </is>
      </c>
      <c r="O174" s="2" t="inlineStr">
        <is>
          <t>2026-10-18</t>
        </is>
      </c>
    </row>
    <row r="175">
      <c r="A175" s="2" t="inlineStr">
        <is>
          <t>TC-24-02</t>
        </is>
      </c>
      <c r="B175" s="2" t="inlineStr">
        <is>
          <t>UC-24</t>
        </is>
      </c>
      <c r="C175" s="2" t="inlineStr">
        <is>
          <t>AC-24.2</t>
        </is>
      </c>
      <c r="D175" s="2" t="inlineStr">
        <is>
          <t>Âm</t>
        </is>
      </c>
      <c r="E175" s="2" t="inlineStr">
        <is>
          <t>P2</t>
        </is>
      </c>
      <c r="F175" s="2" t="inlineStr">
        <is>
          <t>chuyenvien</t>
        </is>
      </c>
      <c r="G175" s="2" t="inlineStr">
        <is>
          <t>Cố đăng, xóa tài liệu.</t>
        </is>
      </c>
      <c r="H175" s="2" t="inlineStr">
        <is>
          <t>Không có nút; API 403.</t>
        </is>
      </c>
      <c r="I175" s="2" t="inlineStr">
        <is>
          <t>app.e2e-spec.ts</t>
        </is>
      </c>
      <c r="J175" s="2" t="inlineStr">
        <is>
          <t>7/7 điều kiện đạt</t>
        </is>
      </c>
      <c r="K175" s="2" t="inlineStr">
        <is>
          <t>Đ</t>
        </is>
      </c>
      <c r="L175" s="2" t="inlineStr"/>
      <c r="M175" s="2" t="inlineStr">
        <is>
          <t>Evidence: evidence/UC-24/TC-24-02.json</t>
        </is>
      </c>
      <c r="N175" s="2" t="inlineStr">
        <is>
          <t>Claude (chạy tự động)</t>
        </is>
      </c>
      <c r="O175" s="2" t="inlineStr">
        <is>
          <t>2026-10-18</t>
        </is>
      </c>
    </row>
    <row r="176">
      <c r="A176" s="2" t="inlineStr">
        <is>
          <t>TC-24-03</t>
        </is>
      </c>
      <c r="B176" s="2" t="inlineStr">
        <is>
          <t>UC-24</t>
        </is>
      </c>
      <c r="C176" s="2" t="inlineStr">
        <is>
          <t>AC-24.3</t>
        </is>
      </c>
      <c r="D176" s="2" t="inlineStr">
        <is>
          <t>Chính</t>
        </is>
      </c>
      <c r="E176" s="2" t="inlineStr">
        <is>
          <t>P2</t>
        </is>
      </c>
      <c r="F176" s="2" t="inlineStr">
        <is>
          <t>chuyenvien</t>
        </is>
      </c>
      <c r="G176" s="2" t="inlineStr">
        <is>
          <t>Sau khi được giao việc, hồ sơ được thẩm định, bị hủy kết quả.</t>
        </is>
      </c>
      <c r="H176" s="2" t="inlineStr">
        <is>
          <t>Mỗi sự kiện có một thông báo đúng nội dung; đánh dấu đã đọc làm biến mất chấm chưa đọc.</t>
        </is>
      </c>
      <c r="I176" s="2" t="inlineStr">
        <is>
          <t>app.e2e-spec.ts</t>
        </is>
      </c>
      <c r="J176" s="2" t="inlineStr">
        <is>
          <t>5/5 điều kiện đạt</t>
        </is>
      </c>
      <c r="K176" s="2" t="inlineStr">
        <is>
          <t>Đ</t>
        </is>
      </c>
      <c r="L176" s="2" t="inlineStr"/>
      <c r="M176" s="2" t="inlineStr">
        <is>
          <t>Evidence: evidence/UC-24/TC-24-03.json</t>
        </is>
      </c>
      <c r="N176" s="2" t="inlineStr">
        <is>
          <t>Claude (chạy tự động)</t>
        </is>
      </c>
      <c r="O176" s="2" t="inlineStr">
        <is>
          <t>2026-10-18</t>
        </is>
      </c>
    </row>
    <row r="177">
      <c r="A177" s="2" t="inlineStr">
        <is>
          <t>TC-24-04</t>
        </is>
      </c>
      <c r="B177" s="2" t="inlineStr">
        <is>
          <t>UC-24</t>
        </is>
      </c>
      <c r="C177" s="2" t="inlineStr">
        <is>
          <t>AC-24.4</t>
        </is>
      </c>
      <c r="D177" s="2" t="inlineStr">
        <is>
          <t>Âm</t>
        </is>
      </c>
      <c r="E177" s="2" t="inlineStr">
        <is>
          <t>P1</t>
        </is>
      </c>
      <c r="F177" s="2" t="inlineStr">
        <is>
          <t>phoban</t>
        </is>
      </c>
      <c r="G177" s="2" t="inlineStr">
        <is>
          <t>Thông báo khiếu nại mới.</t>
        </is>
      </c>
      <c r="H177" s="2" t="inlineStr">
        <is>
          <t>Nội dung thông báo không chứa nội dung khiếu nại.</t>
        </is>
      </c>
      <c r="I177" s="2" t="inlineStr">
        <is>
          <t>tests đơn vị cùng mô-đun</t>
        </is>
      </c>
      <c r="J177" s="2" t="inlineStr">
        <is>
          <t>3/3 điều kiện đạt</t>
        </is>
      </c>
      <c r="K177" s="2" t="inlineStr">
        <is>
          <t>Đ</t>
        </is>
      </c>
      <c r="L177" s="2" t="inlineStr"/>
      <c r="M177" s="2" t="inlineStr">
        <is>
          <t>Evidence: evidence/UC-24/TC-24-04.json</t>
        </is>
      </c>
      <c r="N177" s="2" t="inlineStr">
        <is>
          <t>Claude (chạy tự động)</t>
        </is>
      </c>
      <c r="O177" s="2" t="inlineStr">
        <is>
          <t>2026-10-18</t>
        </is>
      </c>
    </row>
    <row r="178">
      <c r="A178" s="2" t="inlineStr">
        <is>
          <t>TC-25-01</t>
        </is>
      </c>
      <c r="B178" s="2" t="inlineStr">
        <is>
          <t>UC-25</t>
        </is>
      </c>
      <c r="C178" s="2" t="inlineStr">
        <is>
          <t>AC-25.1</t>
        </is>
      </c>
      <c r="D178" s="2" t="inlineStr">
        <is>
          <t>Chính</t>
        </is>
      </c>
      <c r="E178" s="2" t="inlineStr">
        <is>
          <t>P2</t>
        </is>
      </c>
      <c r="F178" s="2" t="inlineStr">
        <is>
          <t>truongphong, truongban</t>
        </is>
      </c>
      <c r="G178" s="2" t="inlineStr">
        <is>
          <t>Tạo đề án; soạn thảo → trình duyệt → phê duyệt (truongban) → nghiệm thu.</t>
        </is>
      </c>
      <c r="H178" s="2" t="inlineStr">
        <is>
          <t>Chuyển đúng trình tự; chỉ người có quyền chuyển bước; có nhật ký.</t>
        </is>
      </c>
      <c r="I178" s="2" t="inlineStr">
        <is>
          <t>app.e2e-spec.ts</t>
        </is>
      </c>
      <c r="J178" s="2" t="inlineStr">
        <is>
          <t>15/15 điều kiện đạt</t>
        </is>
      </c>
      <c r="K178" s="2" t="inlineStr">
        <is>
          <t>Đ</t>
        </is>
      </c>
      <c r="L178" s="2" t="inlineStr"/>
      <c r="M178" s="2" t="inlineStr">
        <is>
          <t>Evidence: evidence/UC-25/TC-25-01.json</t>
        </is>
      </c>
      <c r="N178" s="2" t="inlineStr">
        <is>
          <t>Claude (chạy tự động)</t>
        </is>
      </c>
      <c r="O178" s="2" t="inlineStr">
        <is>
          <t>2026-10-18</t>
        </is>
      </c>
    </row>
    <row r="179">
      <c r="A179" s="2" t="inlineStr">
        <is>
          <t>TC-25-02</t>
        </is>
      </c>
      <c r="B179" s="2" t="inlineStr">
        <is>
          <t>UC-25</t>
        </is>
      </c>
      <c r="C179" s="2" t="inlineStr">
        <is>
          <t>AC-25.2</t>
        </is>
      </c>
      <c r="D179" s="2" t="inlineStr">
        <is>
          <t>Chính</t>
        </is>
      </c>
      <c r="E179" s="2" t="inlineStr">
        <is>
          <t>P1</t>
        </is>
      </c>
      <c r="F179" s="2" t="inlineStr">
        <is>
          <t>–</t>
        </is>
      </c>
      <c r="G179" s="2" t="inlineStr">
        <is>
          <t>Gắn việc vào đề án; so sánh điểm hồ sơ trước và sau.</t>
        </is>
      </c>
      <c r="H179" s="2" t="inlineStr">
        <is>
          <t>Điểm KPI không đổi.</t>
        </is>
      </c>
      <c r="I179" s="2" t="inlineStr">
        <is>
          <t>app.e2e-spec.ts</t>
        </is>
      </c>
      <c r="J179" s="2" t="inlineStr">
        <is>
          <t>3/3 điều kiện đạt</t>
        </is>
      </c>
      <c r="K179" s="2" t="inlineStr">
        <is>
          <t>Đ</t>
        </is>
      </c>
      <c r="L179" s="2" t="inlineStr"/>
      <c r="M179" s="2" t="inlineStr">
        <is>
          <t>Evidence: evidence/UC-25/TC-25-02.json</t>
        </is>
      </c>
      <c r="N179" s="2" t="inlineStr">
        <is>
          <t>Claude (chạy tự động)</t>
        </is>
      </c>
      <c r="O179" s="2" t="inlineStr">
        <is>
          <t>2026-10-18</t>
        </is>
      </c>
    </row>
    <row r="180">
      <c r="A180" s="2" t="inlineStr">
        <is>
          <t>TC-25-03</t>
        </is>
      </c>
      <c r="B180" s="2" t="inlineStr">
        <is>
          <t>UC-25</t>
        </is>
      </c>
      <c r="C180" s="2" t="inlineStr">
        <is>
          <t>AC-25.3</t>
        </is>
      </c>
      <c r="D180" s="2" t="inlineStr">
        <is>
          <t>Chính</t>
        </is>
      </c>
      <c r="E180" s="2" t="inlineStr">
        <is>
          <t>P2</t>
        </is>
      </c>
      <c r="F180" s="2" t="inlineStr">
        <is>
          <t>chuyenvien</t>
        </is>
      </c>
      <c r="G180" s="2" t="inlineStr">
        <is>
          <t>Tạo họp trùng lịch người được mời; tạo họp trùng phòng họp.</t>
        </is>
      </c>
      <c r="H180" s="2" t="inlineStr">
        <is>
          <t>Cả hai có cảnh báo trùng khi tạo, sửa.</t>
        </is>
      </c>
      <c r="I180" s="2" t="inlineStr">
        <is>
          <t>app.e2e-spec.ts</t>
        </is>
      </c>
      <c r="J180" s="2" t="inlineStr">
        <is>
          <t>9/9 điều kiện đạt</t>
        </is>
      </c>
      <c r="K180" s="2" t="inlineStr">
        <is>
          <t>Đ</t>
        </is>
      </c>
      <c r="L180" s="2" t="inlineStr"/>
      <c r="M180" s="2" t="inlineStr">
        <is>
          <t>Evidence: evidence/UC-25/TC-25-03.json</t>
        </is>
      </c>
      <c r="N180" s="2" t="inlineStr">
        <is>
          <t>Claude (chạy tự động)</t>
        </is>
      </c>
      <c r="O180" s="2" t="inlineStr">
        <is>
          <t>2026-10-18</t>
        </is>
      </c>
    </row>
    <row r="181">
      <c r="A181" s="2" t="inlineStr">
        <is>
          <t>TC-25-04</t>
        </is>
      </c>
      <c r="B181" s="2" t="inlineStr">
        <is>
          <t>UC-25</t>
        </is>
      </c>
      <c r="C181" s="2" t="inlineStr">
        <is>
          <t>AC-25.4</t>
        </is>
      </c>
      <c r="D181" s="2" t="inlineStr">
        <is>
          <t>Chính</t>
        </is>
      </c>
      <c r="E181" s="2" t="inlineStr">
        <is>
          <t>P2</t>
        </is>
      </c>
      <c r="F181" s="2" t="inlineStr">
        <is>
          <t>truongphong, chuyenvien</t>
        </is>
      </c>
      <c r="G181" s="2" t="inlineStr">
        <is>
          <t>Mời chuyenvien; chuyenvien xác nhận; chủ trì kết thúc họp ghi kết luận và việc sau họp.</t>
        </is>
      </c>
      <c r="H181" s="2" t="inlineStr">
        <is>
          <t>Trạng thái người được mời cập nhật; Tổng quan hiện việc sau họp còn mở.</t>
        </is>
      </c>
      <c r="I181" s="2" t="inlineStr">
        <is>
          <t>app.e2e-spec.ts</t>
        </is>
      </c>
      <c r="J181" s="2" t="inlineStr">
        <is>
          <t>5/5 điều kiện đạt</t>
        </is>
      </c>
      <c r="K181" s="2" t="inlineStr">
        <is>
          <t>Đ</t>
        </is>
      </c>
      <c r="L181" s="2" t="inlineStr"/>
      <c r="M181" s="2" t="inlineStr">
        <is>
          <t>Evidence: evidence/UC-25/TC-25-04.json</t>
        </is>
      </c>
      <c r="N181" s="2" t="inlineStr">
        <is>
          <t>Claude (chạy tự động)</t>
        </is>
      </c>
      <c r="O181" s="2" t="inlineStr">
        <is>
          <t>2026-10-18</t>
        </is>
      </c>
    </row>
    <row r="182">
      <c r="A182" s="2" t="inlineStr">
        <is>
          <t>TC-26-01</t>
        </is>
      </c>
      <c r="B182" s="2" t="inlineStr">
        <is>
          <t>UC-26</t>
        </is>
      </c>
      <c r="C182" s="2" t="inlineStr">
        <is>
          <t>AC-26.1</t>
        </is>
      </c>
      <c r="D182" s="2" t="inlineStr">
        <is>
          <t>Chính</t>
        </is>
      </c>
      <c r="E182" s="2" t="inlineStr">
        <is>
          <t>P2</t>
        </is>
      </c>
      <c r="F182" s="2" t="inlineStr">
        <is>
          <t>truongphong</t>
        </is>
      </c>
      <c r="G182" s="2" t="inlineStr">
        <is>
          <t>Giao việc cho chuyenvien, gắn vào kết quả then chốt KR1; sửa gắn sang KR2; bỏ gắn.</t>
        </is>
      </c>
      <c r="H182" s="2" t="inlineStr">
        <is>
          <t>Gắn, đổi, bỏ gắn thành công; nhật ký `tasking.assignment.update`.</t>
        </is>
      </c>
      <c r="I182" s="2" t="inlineStr">
        <is>
          <t>app.e2e-spec.ts</t>
        </is>
      </c>
      <c r="J182" s="2" t="inlineStr">
        <is>
          <t>4/4 điều kiện đạt</t>
        </is>
      </c>
      <c r="K182" s="2" t="inlineStr">
        <is>
          <t>Đ</t>
        </is>
      </c>
      <c r="L182" s="2" t="inlineStr"/>
      <c r="M182" s="2" t="inlineStr">
        <is>
          <t>Evidence: evidence/UC-26/TC-26-01.json | Lệch tài liệu: người giao chuyên viên là phophong (cấp trên trực tiếp), không phải truongphong.</t>
        </is>
      </c>
      <c r="N182" s="2" t="inlineStr">
        <is>
          <t>Claude (chạy tự động)</t>
        </is>
      </c>
      <c r="O182" s="2" t="inlineStr">
        <is>
          <t>2026-10-18</t>
        </is>
      </c>
    </row>
    <row r="183">
      <c r="A183" s="2" t="inlineStr">
        <is>
          <t>TC-26-02</t>
        </is>
      </c>
      <c r="B183" s="2" t="inlineStr">
        <is>
          <t>UC-26</t>
        </is>
      </c>
      <c r="C183" s="2" t="inlineStr">
        <is>
          <t>AC-26.1</t>
        </is>
      </c>
      <c r="D183" s="2" t="inlineStr">
        <is>
          <t>Âm</t>
        </is>
      </c>
      <c r="E183" s="2" t="inlineStr">
        <is>
          <t>P2</t>
        </is>
      </c>
      <c r="F183" s="2" t="inlineStr">
        <is>
          <t>truongphong</t>
        </is>
      </c>
      <c r="G183" s="2" t="inlineStr">
        <is>
          <t>Gắn kết quả then chốt có mã KR99 không có trong OKR người nhận.</t>
        </is>
      </c>
      <c r="H183" s="2" t="inlineStr">
        <is>
          <t>400.</t>
        </is>
      </c>
      <c r="I183" s="2" t="inlineStr">
        <is>
          <t>app.e2e-spec.ts</t>
        </is>
      </c>
      <c r="J183" s="2" t="inlineStr">
        <is>
          <t>2/2 điều kiện đạt</t>
        </is>
      </c>
      <c r="K183" s="2" t="inlineStr">
        <is>
          <t>Đ</t>
        </is>
      </c>
      <c r="L183" s="2" t="inlineStr"/>
      <c r="M183" s="2" t="inlineStr">
        <is>
          <t>Evidence: evidence/UC-26/TC-26-02.json</t>
        </is>
      </c>
      <c r="N183" s="2" t="inlineStr">
        <is>
          <t>Claude (chạy tự động)</t>
        </is>
      </c>
      <c r="O183" s="2" t="inlineStr">
        <is>
          <t>2026-10-18</t>
        </is>
      </c>
    </row>
    <row r="184">
      <c r="A184" s="2" t="inlineStr">
        <is>
          <t>TC-26-03</t>
        </is>
      </c>
      <c r="B184" s="2" t="inlineStr">
        <is>
          <t>UC-26</t>
        </is>
      </c>
      <c r="C184" s="2" t="inlineStr">
        <is>
          <t>AC-26.2</t>
        </is>
      </c>
      <c r="D184" s="2" t="inlineStr">
        <is>
          <t>Chính</t>
        </is>
      </c>
      <c r="E184" s="2" t="inlineStr">
        <is>
          <t>P1</t>
        </is>
      </c>
      <c r="F184" s="2" t="inlineStr">
        <is>
          <t>chuyenvien, truongphong</t>
        </is>
      </c>
      <c r="G184" s="2" t="inlineStr">
        <is>
          <t>Ghi lại điểm hồ sơ; gắn, đổi OKR; ghi lại điểm lần nữa.</t>
        </is>
      </c>
      <c r="H184" s="2" t="inlineStr">
        <is>
          <t>Điểm KPI, xếp loại không đổi.</t>
        </is>
      </c>
      <c r="I184" s="2" t="inlineStr">
        <is>
          <t>app.e2e-spec.ts</t>
        </is>
      </c>
      <c r="J184" s="2" t="inlineStr">
        <is>
          <t>1/1 điều kiện đạt</t>
        </is>
      </c>
      <c r="K184" s="2" t="inlineStr">
        <is>
          <t>Đ</t>
        </is>
      </c>
      <c r="L184" s="2" t="inlineStr"/>
      <c r="M184" s="2" t="inlineStr">
        <is>
          <t>Evidence: evidence/UC-26/TC-26-03.json</t>
        </is>
      </c>
      <c r="N184" s="2" t="inlineStr">
        <is>
          <t>Claude (chạy tự động)</t>
        </is>
      </c>
      <c r="O184" s="2" t="inlineStr">
        <is>
          <t>2026-10-18</t>
        </is>
      </c>
    </row>
    <row r="185">
      <c r="A185" s="2" t="inlineStr">
        <is>
          <t>TC-26-04</t>
        </is>
      </c>
      <c r="B185" s="2" t="inlineStr">
        <is>
          <t>UC-26</t>
        </is>
      </c>
      <c r="C185" s="2" t="inlineStr">
        <is>
          <t>AC-26.3</t>
        </is>
      </c>
      <c r="D185" s="2" t="inlineStr">
        <is>
          <t>Âm</t>
        </is>
      </c>
      <c r="E185" s="2" t="inlineStr">
        <is>
          <t>P2</t>
        </is>
      </c>
      <c r="F185" s="2" t="inlineStr">
        <is>
          <t>chuyenvien</t>
        </is>
      </c>
      <c r="G185" s="2" t="inlineStr">
        <is>
          <t>Mở OKR của người khác.</t>
        </is>
      </c>
      <c r="H185" s="2" t="inlineStr">
        <is>
          <t>403.</t>
        </is>
      </c>
      <c r="I185" s="2" t="inlineStr">
        <is>
          <t>app.e2e-spec.ts</t>
        </is>
      </c>
      <c r="J185" s="2" t="inlineStr">
        <is>
          <t>2/2 điều kiện đạt</t>
        </is>
      </c>
      <c r="K185" s="2" t="inlineStr">
        <is>
          <t>Đ</t>
        </is>
      </c>
      <c r="L185" s="2" t="inlineStr"/>
      <c r="M185" s="2" t="inlineStr">
        <is>
          <t>Evidence: evidence/UC-26/TC-26-04.json</t>
        </is>
      </c>
      <c r="N185" s="2" t="inlineStr">
        <is>
          <t>Claude (chạy tự động)</t>
        </is>
      </c>
      <c r="O185" s="2" t="inlineStr">
        <is>
          <t>2026-10-18</t>
        </is>
      </c>
    </row>
    <row r="186">
      <c r="A186" s="2" t="inlineStr">
        <is>
          <t>TC-26-05</t>
        </is>
      </c>
      <c r="B186" s="2" t="inlineStr">
        <is>
          <t>UC-26</t>
        </is>
      </c>
      <c r="C186" s="2" t="inlineStr">
        <is>
          <t>AC-26.2</t>
        </is>
      </c>
      <c r="D186" s="2" t="inlineStr">
        <is>
          <t>Chính</t>
        </is>
      </c>
      <c r="E186" s="2" t="inlineStr">
        <is>
          <t>P3</t>
        </is>
      </c>
      <c r="F186" s="2" t="inlineStr">
        <is>
          <t>chuyenvien</t>
        </is>
      </c>
      <c r="G186" s="2" t="inlineStr">
        <is>
          <t>Mở `/okr`: OKR của tôi.</t>
        </is>
      </c>
      <c r="H186" s="2" t="inlineStr">
        <is>
          <t>Số việc, hoàn thành, chờ xác nhận, đang làm, quá hạn, chậm, chưa đạt theo kết quả then chốt khớp danh sách việc.</t>
        </is>
      </c>
      <c r="I186" s="2" t="inlineStr">
        <is>
          <t>app.e2e-spec.ts</t>
        </is>
      </c>
      <c r="J186" s="2" t="inlineStr">
        <is>
          <t>3/3 điều kiện đạt</t>
        </is>
      </c>
      <c r="K186" s="2" t="inlineStr">
        <is>
          <t>Đ</t>
        </is>
      </c>
      <c r="L186" s="2" t="inlineStr"/>
      <c r="M186" s="2" t="inlineStr">
        <is>
          <t>Evidence: evidence/UC-26/TC-26-05.json</t>
        </is>
      </c>
      <c r="N186" s="2" t="inlineStr">
        <is>
          <t>Claude (chạy tự động)</t>
        </is>
      </c>
      <c r="O186" s="2" t="inlineStr">
        <is>
          <t>2026-10-18</t>
        </is>
      </c>
    </row>
    <row r="187">
      <c r="A187" s="2" t="inlineStr">
        <is>
          <t>TC-27-01</t>
        </is>
      </c>
      <c r="B187" s="2" t="inlineStr">
        <is>
          <t>UC-27</t>
        </is>
      </c>
      <c r="C187" s="2" t="inlineStr">
        <is>
          <t>AC-27.1</t>
        </is>
      </c>
      <c r="D187" s="2" t="inlineStr">
        <is>
          <t>Chính</t>
        </is>
      </c>
      <c r="E187" s="2" t="inlineStr">
        <is>
          <t>P1</t>
        </is>
      </c>
      <c r="F187" s="2" t="inlineStr">
        <is>
          <t>quản trị máy chủ</t>
        </is>
      </c>
      <c r="G187" s="2" t="inlineStr">
        <is>
          <t>Đặt `BACKUP_ENCRYPTION_KEY`; `npm run backup`; `npm run backup:list`.</t>
        </is>
      </c>
      <c r="H187" s="2" t="inlineStr">
        <is>
          <t>Có bản sao lưu mới (CSDL và tệp), tệp mã hóa; không đọc được bằng công cụ thường.</t>
        </is>
      </c>
      <c r="I187" s="2" t="inlineStr">
        <is>
          <t>crypto.spec.ts</t>
        </is>
      </c>
      <c r="J187" s="2" t="inlineStr">
        <is>
          <t>5/5 điều kiện đạt</t>
        </is>
      </c>
      <c r="K187" s="2" t="inlineStr">
        <is>
          <t>Đ</t>
        </is>
      </c>
      <c r="L187" s="2" t="inlineStr"/>
      <c r="M187" s="2" t="inlineStr">
        <is>
          <t>Evidence: evidence/UC-27/TC-27-01.json</t>
        </is>
      </c>
      <c r="N187" s="2" t="inlineStr">
        <is>
          <t>Claude (chạy tự động)</t>
        </is>
      </c>
      <c r="O187" s="2" t="inlineStr">
        <is>
          <t>2026-10-18</t>
        </is>
      </c>
    </row>
    <row r="188">
      <c r="A188" s="2" t="inlineStr">
        <is>
          <t>TC-27-02</t>
        </is>
      </c>
      <c r="B188" s="2" t="inlineStr">
        <is>
          <t>UC-27</t>
        </is>
      </c>
      <c r="C188" s="2" t="inlineStr">
        <is>
          <t>AC-27.2</t>
        </is>
      </c>
      <c r="D188" s="2" t="inlineStr">
        <is>
          <t>Chính</t>
        </is>
      </c>
      <c r="E188" s="2" t="inlineStr">
        <is>
          <t>P1</t>
        </is>
      </c>
      <c r="F188" s="2" t="inlineStr">
        <is>
          <t>quản trị máy chủ</t>
        </is>
      </c>
      <c r="G188" s="2" t="inlineStr">
        <is>
          <t>`npm run backup:verify`.</t>
        </is>
      </c>
      <c r="H188" s="2" t="inlineStr">
        <is>
          <t>Phục hồi thử vào CSDL tạm, số bản ghi chính khớp; CSDL đang chạy không bị tác động; CSDL tạm bị dọn.</t>
        </is>
      </c>
      <c r="I188" s="2" t="inlineStr">
        <is>
          <t>–</t>
        </is>
      </c>
      <c r="J188" s="2" t="inlineStr">
        <is>
          <t>3/3 điều kiện đạt</t>
        </is>
      </c>
      <c r="K188" s="2" t="inlineStr">
        <is>
          <t>Đ</t>
        </is>
      </c>
      <c r="L188" s="2" t="inlineStr"/>
      <c r="M188" s="2" t="inlineStr">
        <is>
          <t>Evidence: evidence/UC-27/TC-27-02.json</t>
        </is>
      </c>
      <c r="N188" s="2" t="inlineStr">
        <is>
          <t>Claude (chạy tự động)</t>
        </is>
      </c>
      <c r="O188" s="2" t="inlineStr">
        <is>
          <t>2026-10-18</t>
        </is>
      </c>
    </row>
    <row r="189">
      <c r="A189" s="2" t="inlineStr">
        <is>
          <t>TC-27-03</t>
        </is>
      </c>
      <c r="B189" s="2" t="inlineStr">
        <is>
          <t>UC-27</t>
        </is>
      </c>
      <c r="C189" s="2" t="inlineStr">
        <is>
          <t>AC-27.3</t>
        </is>
      </c>
      <c r="D189" s="2" t="inlineStr">
        <is>
          <t>Âm</t>
        </is>
      </c>
      <c r="E189" s="2" t="inlineStr">
        <is>
          <t>P1</t>
        </is>
      </c>
      <c r="F189" s="2" t="inlineStr">
        <is>
          <t>quản trị máy chủ</t>
        </is>
      </c>
      <c r="G189" s="2" t="inlineStr">
        <is>
          <t>Đổi một byte trong tệp sao lưu; `backup:verify`. Dùng khóa sai.</t>
        </is>
      </c>
      <c r="H189" s="2" t="inlineStr">
        <is>
          <t>Báo lỗi rõ (xác thực GCM thất bại); không ghi đè dữ liệu đang chạy.</t>
        </is>
      </c>
      <c r="I189" s="2" t="inlineStr">
        <is>
          <t>crypto.spec.ts</t>
        </is>
      </c>
      <c r="J189" s="2" t="inlineStr">
        <is>
          <t>7/7 điều kiện đạt</t>
        </is>
      </c>
      <c r="K189" s="2" t="inlineStr">
        <is>
          <t>Đ</t>
        </is>
      </c>
      <c r="L189" s="2" t="inlineStr"/>
      <c r="M189" s="2" t="inlineStr">
        <is>
          <t>Evidence: evidence/UC-27/TC-27-03.json</t>
        </is>
      </c>
      <c r="N189" s="2" t="inlineStr">
        <is>
          <t>Claude (chạy tự động)</t>
        </is>
      </c>
      <c r="O189" s="2" t="inlineStr">
        <is>
          <t>2026-10-18</t>
        </is>
      </c>
    </row>
    <row r="190">
      <c r="A190" s="2" t="inlineStr">
        <is>
          <t>TC-27-04</t>
        </is>
      </c>
      <c r="B190" s="2" t="inlineStr">
        <is>
          <t>UC-27</t>
        </is>
      </c>
      <c r="C190" s="2" t="inlineStr">
        <is>
          <t>AC-27.4</t>
        </is>
      </c>
      <c r="D190" s="2" t="inlineStr">
        <is>
          <t>Chính</t>
        </is>
      </c>
      <c r="E190" s="2" t="inlineStr">
        <is>
          <t>P2</t>
        </is>
      </c>
      <c r="F190" s="2" t="inlineStr">
        <is>
          <t>–</t>
        </is>
      </c>
      <c r="G190" s="2" t="inlineStr">
        <is>
          <t>Chạy chính sách giữ với tập bản mẫu 30 ngày, 8 tuần, 14 tháng.</t>
        </is>
      </c>
      <c r="H190" s="2" t="inlineStr">
        <is>
          <t>Giữ 7 bản theo ngày, 4 theo tuần, 12 theo tháng; bản còn lại bị dọn.</t>
        </is>
      </c>
      <c r="I190" s="2" t="inlineStr">
        <is>
          <t>retention.spec.ts</t>
        </is>
      </c>
      <c r="J190" s="2" t="inlineStr">
        <is>
          <t>1/1 điều kiện đạt</t>
        </is>
      </c>
      <c r="K190" s="2" t="inlineStr">
        <is>
          <t>Đ</t>
        </is>
      </c>
      <c r="L190" s="2" t="inlineStr"/>
      <c r="M190" s="2" t="inlineStr">
        <is>
          <t>Evidence: evidence/UC-27/TC-27-04.json</t>
        </is>
      </c>
      <c r="N190" s="2" t="inlineStr">
        <is>
          <t>Claude (chạy tự động)</t>
        </is>
      </c>
      <c r="O190" s="2" t="inlineStr">
        <is>
          <t>2026-10-18</t>
        </is>
      </c>
    </row>
    <row r="191">
      <c r="A191" s="2" t="inlineStr">
        <is>
          <t>TC-27-05</t>
        </is>
      </c>
      <c r="B191" s="2" t="inlineStr">
        <is>
          <t>UC-27</t>
        </is>
      </c>
      <c r="C191" s="2" t="inlineStr">
        <is>
          <t>AC-27.5</t>
        </is>
      </c>
      <c r="D191" s="2" t="inlineStr">
        <is>
          <t>Chính</t>
        </is>
      </c>
      <c r="E191" s="2" t="inlineStr">
        <is>
          <t>P1</t>
        </is>
      </c>
      <c r="F191" s="2" t="inlineStr">
        <is>
          <t>quản trị máy chủ</t>
        </is>
      </c>
      <c r="G191" s="2" t="inlineStr">
        <is>
          <t>`backup:remote` đẩy lên bucket MinIO riêng; xóa bản địa phương; `backup:pull`; `backup:restore` vào CSDL thử.</t>
        </is>
      </c>
      <c r="H191" s="2" t="inlineStr">
        <is>
          <t>Phục hồi thành công từ bản kéo về; dữ liệu khớp.</t>
        </is>
      </c>
      <c r="I191" s="2" t="inlineStr">
        <is>
          <t>diễn tập đã làm ở thiết kế về sao lưu và thử phục hồi</t>
        </is>
      </c>
      <c r="J191" s="2" t="inlineStr">
        <is>
          <t>8/8 điều kiện đạt</t>
        </is>
      </c>
      <c r="K191" s="2" t="inlineStr">
        <is>
          <t>Đ</t>
        </is>
      </c>
      <c r="L191" s="2" t="inlineStr"/>
      <c r="M191" s="2" t="inlineStr">
        <is>
          <t>Evidence: evidence/UC-27/TC-27-05.json</t>
        </is>
      </c>
      <c r="N191" s="2" t="inlineStr">
        <is>
          <t>Claude (chạy tự động)</t>
        </is>
      </c>
      <c r="O191" s="2" t="inlineStr">
        <is>
          <t>2026-10-18</t>
        </is>
      </c>
    </row>
    <row r="192">
      <c r="A192" s="2" t="inlineStr">
        <is>
          <t>TC-27-06</t>
        </is>
      </c>
      <c r="B192" s="2" t="inlineStr">
        <is>
          <t>UC-27</t>
        </is>
      </c>
      <c r="C192" s="2" t="inlineStr">
        <is>
          <t>AC-27.3</t>
        </is>
      </c>
      <c r="D192" s="2" t="inlineStr">
        <is>
          <t>Âm</t>
        </is>
      </c>
      <c r="E192" s="2" t="inlineStr">
        <is>
          <t>P2</t>
        </is>
      </c>
      <c r="F192" s="2" t="inlineStr">
        <is>
          <t>quản trị máy chủ</t>
        </is>
      </c>
      <c r="G192" s="2" t="inlineStr">
        <is>
          <t>Chạy sao lưu khi không đủ chỗ trống (giả lập).</t>
        </is>
      </c>
      <c r="H192" s="2" t="inlineStr">
        <is>
          <t>Báo lỗi, không để lại bản dở dang được liệt kê như bản hợp lệ.</t>
        </is>
      </c>
      <c r="I192" s="2" t="inlineStr">
        <is>
          <t>–</t>
        </is>
      </c>
      <c r="J192" s="2" t="inlineStr">
        <is>
          <t>3/3 điều kiện đạt</t>
        </is>
      </c>
      <c r="K192" s="2" t="inlineStr">
        <is>
          <t>Đ</t>
        </is>
      </c>
      <c r="L192" s="2" t="inlineStr"/>
      <c r="M192" s="2" t="inlineStr">
        <is>
          <t>Evidence: evidence/UC-27/TC-27-06.json</t>
        </is>
      </c>
      <c r="N192" s="2" t="inlineStr">
        <is>
          <t>Claude (chạy tự động)</t>
        </is>
      </c>
      <c r="O192" s="2" t="inlineStr">
        <is>
          <t>2026-10-18</t>
        </is>
      </c>
    </row>
    <row r="193">
      <c r="A193" s="2" t="inlineStr">
        <is>
          <t>TC-28-01</t>
        </is>
      </c>
      <c r="B193" s="2" t="inlineStr">
        <is>
          <t>UC-28</t>
        </is>
      </c>
      <c r="C193" s="2" t="inlineStr">
        <is>
          <t>AC-28.1</t>
        </is>
      </c>
      <c r="D193" s="2" t="inlineStr">
        <is>
          <t>Chính</t>
        </is>
      </c>
      <c r="E193" s="2" t="inlineStr">
        <is>
          <t>P1</t>
        </is>
      </c>
      <c r="F193" s="2" t="inlineStr">
        <is>
          <t>–</t>
        </is>
      </c>
      <c r="G193" s="2" t="inlineStr">
        <is>
          <t>Đăng nhập, xem cookie phiên trong công cụ phát triển của trình duyệt.</t>
        </is>
      </c>
      <c r="H193" s="2" t="inlineStr">
        <is>
          <t>`httpOnly`, `SameSite=Lax`; `Secure` khi chạy qua HTTPS; mã không đọc được bằng JavaScript.</t>
        </is>
      </c>
      <c r="I193" s="2" t="inlineStr">
        <is>
          <t>–</t>
        </is>
      </c>
      <c r="J193" s="2" t="inlineStr">
        <is>
          <t>4/4 điều kiện đạt</t>
        </is>
      </c>
      <c r="K193" s="2" t="inlineStr">
        <is>
          <t>Đ</t>
        </is>
      </c>
      <c r="L193" s="2" t="inlineStr"/>
      <c r="M193" s="2" t="inlineStr">
        <is>
          <t>Evidence: evidence/UC-28/TC-28-01.json</t>
        </is>
      </c>
      <c r="N193" s="2" t="inlineStr">
        <is>
          <t>Claude (chạy tự động)</t>
        </is>
      </c>
      <c r="O193" s="2" t="inlineStr">
        <is>
          <t>2026-10-18</t>
        </is>
      </c>
    </row>
    <row r="194">
      <c r="A194" s="2" t="inlineStr">
        <is>
          <t>TC-28-02</t>
        </is>
      </c>
      <c r="B194" s="2" t="inlineStr">
        <is>
          <t>UC-28</t>
        </is>
      </c>
      <c r="C194" s="2" t="inlineStr">
        <is>
          <t>AC-28.2</t>
        </is>
      </c>
      <c r="D194" s="2" t="inlineStr">
        <is>
          <t>Chính</t>
        </is>
      </c>
      <c r="E194" s="2" t="inlineStr">
        <is>
          <t>P2</t>
        </is>
      </c>
      <c r="F194" s="2" t="inlineStr">
        <is>
          <t>–</t>
        </is>
      </c>
      <c r="G194" s="2" t="inlineStr">
        <is>
          <t>Xem tiêu đề phản hồi của `/api/health` và trang đăng nhập.</t>
        </is>
      </c>
      <c r="H194" s="2" t="inlineStr">
        <is>
          <t>Có các tiêu đề bảo mật (chống nhúng khung, chống đoán kiểu nội dung…).</t>
        </is>
      </c>
      <c r="I194" s="2" t="inlineStr">
        <is>
          <t>app.e2e-spec.ts</t>
        </is>
      </c>
      <c r="J194" s="2" t="inlineStr">
        <is>
          <t>7/7 điều kiện đạt</t>
        </is>
      </c>
      <c r="K194" s="2" t="inlineStr">
        <is>
          <t>Đ</t>
        </is>
      </c>
      <c r="L194" s="2" t="inlineStr"/>
      <c r="M194" s="2" t="inlineStr">
        <is>
          <t>Evidence: evidence/UC-28/TC-28-02.json</t>
        </is>
      </c>
      <c r="N194" s="2" t="inlineStr">
        <is>
          <t>Claude (chạy tự động)</t>
        </is>
      </c>
      <c r="O194" s="2" t="inlineStr">
        <is>
          <t>2026-10-18</t>
        </is>
      </c>
    </row>
    <row r="195">
      <c r="A195" s="2" t="inlineStr">
        <is>
          <t>TC-28-03</t>
        </is>
      </c>
      <c r="B195" s="2" t="inlineStr">
        <is>
          <t>UC-28</t>
        </is>
      </c>
      <c r="C195" s="2" t="inlineStr">
        <is>
          <t>AC-28.2</t>
        </is>
      </c>
      <c r="D195" s="2" t="inlineStr">
        <is>
          <t>Âm</t>
        </is>
      </c>
      <c r="E195" s="2" t="inlineStr">
        <is>
          <t>P2</t>
        </is>
      </c>
      <c r="F195" s="2" t="inlineStr">
        <is>
          <t>–</t>
        </is>
      </c>
      <c r="G195" s="2" t="inlineStr">
        <is>
          <t>Gửi 20 lần đăng nhập sai trong vài giây.</t>
        </is>
      </c>
      <c r="H195" s="2" t="inlineStr">
        <is>
          <t>Bị giới hạn tần suất (429) hoặc khóa tạm; hệ thống không sập.</t>
        </is>
      </c>
      <c r="I195" s="2" t="inlineStr">
        <is>
          <t>app.e2e-spec.ts</t>
        </is>
      </c>
      <c r="J195" s="2" t="inlineStr">
        <is>
          <t>2/2 điều kiện đạt</t>
        </is>
      </c>
      <c r="K195" s="2" t="inlineStr">
        <is>
          <t>Đ</t>
        </is>
      </c>
      <c r="L195" s="2" t="inlineStr"/>
      <c r="M195" s="2" t="inlineStr">
        <is>
          <t>Evidence: evidence/UC-28/TC-28-03.json</t>
        </is>
      </c>
      <c r="N195" s="2" t="inlineStr">
        <is>
          <t>Claude (chạy tự động)</t>
        </is>
      </c>
      <c r="O195" s="2" t="inlineStr">
        <is>
          <t>2026-10-18</t>
        </is>
      </c>
    </row>
    <row r="196">
      <c r="A196" s="2" t="inlineStr">
        <is>
          <t>TC-28-04</t>
        </is>
      </c>
      <c r="B196" s="2" t="inlineStr">
        <is>
          <t>UC-28</t>
        </is>
      </c>
      <c r="C196" s="2" t="inlineStr">
        <is>
          <t>AC-28.3</t>
        </is>
      </c>
      <c r="D196" s="2" t="inlineStr">
        <is>
          <t>Âm</t>
        </is>
      </c>
      <c r="E196" s="2" t="inlineStr">
        <is>
          <t>P1</t>
        </is>
      </c>
      <c r="F196" s="2" t="inlineStr">
        <is>
          <t>chuyenvien</t>
        </is>
      </c>
      <c r="G196" s="2" t="inlineStr">
        <is>
          <t>Gọi các đường dẫn quản trị (`/api/accounts`, `/api/audit`, `/api/org/...` ghi).</t>
        </is>
      </c>
      <c r="H196" s="2" t="inlineStr">
        <is>
          <t>403 cho từng đường dẫn.</t>
        </is>
      </c>
      <c r="I196" s="2" t="inlineStr">
        <is>
          <t>authorization.spec.ts; app.e2e-spec.ts</t>
        </is>
      </c>
      <c r="J196" s="2" t="inlineStr">
        <is>
          <t>11/11 điều kiện đạt</t>
        </is>
      </c>
      <c r="K196" s="2" t="inlineStr">
        <is>
          <t>Đ</t>
        </is>
      </c>
      <c r="L196" s="2" t="inlineStr"/>
      <c r="M196" s="2" t="inlineStr">
        <is>
          <t>Evidence: evidence/UC-28/TC-28-04.json</t>
        </is>
      </c>
      <c r="N196" s="2" t="inlineStr">
        <is>
          <t>Claude (chạy tự động)</t>
        </is>
      </c>
      <c r="O196" s="2" t="inlineStr">
        <is>
          <t>2026-10-18</t>
        </is>
      </c>
    </row>
    <row r="197">
      <c r="A197" s="2" t="inlineStr">
        <is>
          <t>TC-28-05</t>
        </is>
      </c>
      <c r="B197" s="2" t="inlineStr">
        <is>
          <t>UC-28</t>
        </is>
      </c>
      <c r="C197" s="2" t="inlineStr">
        <is>
          <t>AC-28.3</t>
        </is>
      </c>
      <c r="D197" s="2" t="inlineStr">
        <is>
          <t>Âm</t>
        </is>
      </c>
      <c r="E197" s="2" t="inlineStr">
        <is>
          <t>P2</t>
        </is>
      </c>
      <c r="F197" s="2" t="inlineStr">
        <is>
          <t>–</t>
        </is>
      </c>
      <c r="G197" s="2" t="inlineStr">
        <is>
          <t>Gửi yêu cầu có `Origin` lạ.</t>
        </is>
      </c>
      <c r="H197" s="2" t="inlineStr">
        <is>
          <t>CORS không cho phép.</t>
        </is>
      </c>
      <c r="I197" s="2" t="inlineStr">
        <is>
          <t>–</t>
        </is>
      </c>
      <c r="J197" s="2" t="inlineStr">
        <is>
          <t>3/3 điều kiện đạt</t>
        </is>
      </c>
      <c r="K197" s="2" t="inlineStr">
        <is>
          <t>Đ</t>
        </is>
      </c>
      <c r="L197" s="2" t="inlineStr"/>
      <c r="M197" s="2" t="inlineStr">
        <is>
          <t>Evidence: evidence/UC-28/TC-28-05.json</t>
        </is>
      </c>
      <c r="N197" s="2" t="inlineStr">
        <is>
          <t>Claude (chạy tự động)</t>
        </is>
      </c>
      <c r="O197" s="2" t="inlineStr">
        <is>
          <t>2026-10-18</t>
        </is>
      </c>
    </row>
    <row r="198">
      <c r="A198" s="2" t="inlineStr">
        <is>
          <t>TC-28-06</t>
        </is>
      </c>
      <c r="B198" s="2" t="inlineStr">
        <is>
          <t>UC-28</t>
        </is>
      </c>
      <c r="C198" s="2" t="inlineStr">
        <is>
          <t>AC-28.4</t>
        </is>
      </c>
      <c r="D198" s="2" t="inlineStr">
        <is>
          <t>Chính</t>
        </is>
      </c>
      <c r="E198" s="2" t="inlineStr">
        <is>
          <t>P2</t>
        </is>
      </c>
      <c r="F198" s="2" t="inlineStr">
        <is>
          <t>–</t>
        </is>
      </c>
      <c r="G198" s="2" t="inlineStr">
        <is>
          <t>Rà các màn hình nhập liệu và dữ liệu mẫu.</t>
        </is>
      </c>
      <c r="H198" s="2" t="inlineStr">
        <is>
          <t>Không có trường nội dung mật; không có chức năng tự quyết điểm hay xếp loại bằng AI.</t>
        </is>
      </c>
      <c r="I198" s="2" t="inlineStr">
        <is>
          <t>–</t>
        </is>
      </c>
      <c r="J198" s="2" t="inlineStr">
        <is>
          <t>4/4 điều kiện đạt</t>
        </is>
      </c>
      <c r="K198" s="2" t="inlineStr">
        <is>
          <t>Đ</t>
        </is>
      </c>
      <c r="L198" s="2" t="inlineStr"/>
      <c r="M198" s="2" t="inlineStr">
        <is>
          <t>Evidence: evidence/UC-28/TC-28-06.json</t>
        </is>
      </c>
      <c r="N198" s="2" t="inlineStr">
        <is>
          <t>Claude (chạy tự động)</t>
        </is>
      </c>
      <c r="O198" s="2" t="inlineStr">
        <is>
          <t>2026-10-18</t>
        </is>
      </c>
    </row>
    <row r="199">
      <c r="A199" s="2" t="inlineStr">
        <is>
          <t>TC-28-07</t>
        </is>
      </c>
      <c r="B199" s="2" t="inlineStr">
        <is>
          <t>UC-28</t>
        </is>
      </c>
      <c r="C199" s="2" t="inlineStr">
        <is>
          <t>AC-28.5</t>
        </is>
      </c>
      <c r="D199" s="2" t="inlineStr">
        <is>
          <t>Chính</t>
        </is>
      </c>
      <c r="E199" s="2" t="inlineStr">
        <is>
          <t>P3</t>
        </is>
      </c>
      <c r="F199" s="2" t="inlineStr">
        <is>
          <t>truongban</t>
        </is>
      </c>
      <c r="G199" s="2" t="inlineStr">
        <is>
          <t>Mở danh sách có hơn 100 dòng (nhật ký, việc).</t>
        </is>
      </c>
      <c r="H199" s="2" t="inlineStr">
        <is>
          <t>Có phân trang; mở trang đầu không chậm bất thường.</t>
        </is>
      </c>
      <c r="I199" s="2" t="inlineStr">
        <is>
          <t>–</t>
        </is>
      </c>
      <c r="J199" s="2" t="inlineStr">
        <is>
          <t>4/4 điều kiện đạt</t>
        </is>
      </c>
      <c r="K199" s="2" t="inlineStr">
        <is>
          <t>Đ</t>
        </is>
      </c>
      <c r="L199" s="2" t="inlineStr"/>
      <c r="M199" s="2" t="inlineStr">
        <is>
          <t>Evidence: evidence/UC-28/TC-28-07.json</t>
        </is>
      </c>
      <c r="N199" s="2" t="inlineStr">
        <is>
          <t>Claude (chạy tự động)</t>
        </is>
      </c>
      <c r="O199" s="2" t="inlineStr">
        <is>
          <t>2026-10-18</t>
        </is>
      </c>
    </row>
    <row r="200">
      <c r="A200" s="2" t="inlineStr">
        <is>
          <t>TC-28-08</t>
        </is>
      </c>
      <c r="B200" s="2" t="inlineStr">
        <is>
          <t>UC-28</t>
        </is>
      </c>
      <c r="C200" s="2" t="inlineStr">
        <is>
          <t>AC-28.6</t>
        </is>
      </c>
      <c r="D200" s="2" t="inlineStr">
        <is>
          <t>Chính</t>
        </is>
      </c>
      <c r="E200" s="2" t="inlineStr">
        <is>
          <t>P3</t>
        </is>
      </c>
      <c r="F200" s="2" t="inlineStr">
        <is>
          <t>–</t>
        </is>
      </c>
      <c r="G200" s="2" t="inlineStr">
        <is>
          <t>Mở trang chính ở độ rộng 1366.</t>
        </is>
      </c>
      <c r="H200" s="2" t="inlineStr">
        <is>
          <t>Chữ Việt đủ dấu, bố cục không vỡ.</t>
        </is>
      </c>
      <c r="I200" s="2" t="inlineStr">
        <is>
          <t>–</t>
        </is>
      </c>
      <c r="J200" s="2" t="inlineStr">
        <is>
          <t>3/3 điều kiện đạt</t>
        </is>
      </c>
      <c r="K200" s="2" t="inlineStr">
        <is>
          <t>Đ</t>
        </is>
      </c>
      <c r="L200" s="2" t="inlineStr"/>
      <c r="M200" s="2" t="inlineStr">
        <is>
          <t>Evidence: evidence/UC-28/TC-28-08.json</t>
        </is>
      </c>
      <c r="N200" s="2" t="inlineStr">
        <is>
          <t>Claude (chạy tự động)</t>
        </is>
      </c>
      <c r="O200" s="2" t="inlineStr">
        <is>
          <t>2026-10-18</t>
        </is>
      </c>
    </row>
    <row r="201">
      <c r="A201" s="2" t="inlineStr">
        <is>
          <t>TC-28-09</t>
        </is>
      </c>
      <c r="B201" s="2" t="inlineStr">
        <is>
          <t>UC-28</t>
        </is>
      </c>
      <c r="C201" s="2" t="inlineStr">
        <is>
          <t>AC-28.7</t>
        </is>
      </c>
      <c r="D201" s="2" t="inlineStr">
        <is>
          <t>Chính</t>
        </is>
      </c>
      <c r="E201" s="2" t="inlineStr">
        <is>
          <t>P2</t>
        </is>
      </c>
      <c r="F201" s="2" t="inlineStr">
        <is>
          <t>quantri</t>
        </is>
      </c>
      <c r="G201" s="2" t="inlineStr">
        <is>
          <t>Đặt `MFA_MODE=required`; đăng nhập `quantri` lần đầu.</t>
        </is>
      </c>
      <c r="H201" s="2" t="inlineStr">
        <is>
          <t>Phải đăng ký TOTP (mã QR, mã khôi phục); lần sau phải nhập mã 6 số; mã khôi phục dùng một lần.</t>
        </is>
      </c>
      <c r="I201" s="2" t="inlineStr">
        <is>
          <t>mfa.spec.ts</t>
        </is>
      </c>
      <c r="J201" s="2" t="inlineStr">
        <is>
          <t>9/9 điều kiện đạt</t>
        </is>
      </c>
      <c r="K201" s="2" t="inlineStr">
        <is>
          <t>Đ</t>
        </is>
      </c>
      <c r="L201" s="2" t="inlineStr"/>
      <c r="M201" s="2" t="inlineStr">
        <is>
          <t>Evidence: evidence/UC-28/TC-28-09.json</t>
        </is>
      </c>
      <c r="N201" s="2" t="inlineStr">
        <is>
          <t>Claude (chạy tự động)</t>
        </is>
      </c>
      <c r="O201" s="2" t="inlineStr">
        <is>
          <t>2026-10-18</t>
        </is>
      </c>
    </row>
    <row r="202">
      <c r="A202" s="2" t="inlineStr">
        <is>
          <t>TC-28-10</t>
        </is>
      </c>
      <c r="B202" s="2" t="inlineStr">
        <is>
          <t>UC-28</t>
        </is>
      </c>
      <c r="C202" s="2" t="inlineStr">
        <is>
          <t>AC-28.7</t>
        </is>
      </c>
      <c r="D202" s="2" t="inlineStr">
        <is>
          <t>Âm</t>
        </is>
      </c>
      <c r="E202" s="2" t="inlineStr">
        <is>
          <t>P2</t>
        </is>
      </c>
      <c r="F202" s="2" t="inlineStr">
        <is>
          <t>quantri</t>
        </is>
      </c>
      <c r="G202" s="2" t="inlineStr">
        <is>
          <t>Nhập sai mã TOTP 5 lần.</t>
        </is>
      </c>
      <c r="H202" s="2" t="inlineStr">
        <is>
          <t>Khóa tạm như sai mật khẩu; đăng nhập đúng mật khẩu không xóa bộ đếm.</t>
        </is>
      </c>
      <c r="I202" s="2" t="inlineStr">
        <is>
          <t>mfa.spec.ts</t>
        </is>
      </c>
      <c r="J202" s="2" t="inlineStr">
        <is>
          <t>3/3 điều kiện đạt</t>
        </is>
      </c>
      <c r="K202" s="2" t="inlineStr">
        <is>
          <t>Đ</t>
        </is>
      </c>
      <c r="L202" s="2" t="inlineStr"/>
      <c r="M202" s="2" t="inlineStr">
        <is>
          <t>Evidence: evidence/UC-28/TC-28-10.json</t>
        </is>
      </c>
      <c r="N202" s="2" t="inlineStr">
        <is>
          <t>Claude (chạy tự động)</t>
        </is>
      </c>
      <c r="O202" s="2" t="inlineStr">
        <is>
          <t>2026-10-18</t>
        </is>
      </c>
    </row>
    <row r="203">
      <c r="A203" s="2" t="inlineStr">
        <is>
          <t>TC-28-11</t>
        </is>
      </c>
      <c r="B203" s="2" t="inlineStr">
        <is>
          <t>UC-28</t>
        </is>
      </c>
      <c r="C203" s="2" t="inlineStr">
        <is>
          <t>AC-28.7</t>
        </is>
      </c>
      <c r="D203" s="2" t="inlineStr">
        <is>
          <t>Chính</t>
        </is>
      </c>
      <c r="E203" s="2" t="inlineStr">
        <is>
          <t>P3</t>
        </is>
      </c>
      <c r="F203" s="2" t="inlineStr">
        <is>
          <t>quantri</t>
        </is>
      </c>
      <c r="G203" s="2" t="inlineStr">
        <is>
          <t>Đặt lại MFA cho một tài khoản.</t>
        </is>
      </c>
      <c r="H203" s="2" t="inlineStr">
        <is>
          <t>Mọi phiên của tài khoản đó bị thu hồi, lần sau đăng ký lại.</t>
        </is>
      </c>
      <c r="I203" s="2" t="inlineStr">
        <is>
          <t>mfa.spec.ts</t>
        </is>
      </c>
      <c r="J203" s="2" t="inlineStr">
        <is>
          <t>5/5 điều kiện đạt</t>
        </is>
      </c>
      <c r="K203" s="2" t="inlineStr">
        <is>
          <t>Đ</t>
        </is>
      </c>
      <c r="L203" s="2" t="inlineStr"/>
      <c r="M203" s="2" t="inlineStr">
        <is>
          <t>Evidence: evidence/UC-28/TC-28-11.json</t>
        </is>
      </c>
      <c r="N203" s="2" t="inlineStr">
        <is>
          <t>Claude (chạy tự động)</t>
        </is>
      </c>
      <c r="O203" s="2" t="inlineStr">
        <is>
          <t>2026-10-18</t>
        </is>
      </c>
    </row>
  </sheetData>
  <autoFilter ref="A1:O203"/>
  <dataValidations count="1">
    <dataValidation sqref="K2:K203" showDropDown="0" showInputMessage="0" showErrorMessage="0" allowBlank="1" type="list">
      <formula1>"Đ,K,C,N"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Use case</t>
        </is>
      </c>
      <c r="B1" s="1" t="inlineStr">
        <is>
          <t>Số TC</t>
        </is>
      </c>
      <c r="C1" s="1" t="inlineStr">
        <is>
          <t>Đạt (Đ)</t>
        </is>
      </c>
      <c r="D1" s="1" t="inlineStr">
        <is>
          <t>Không đạt (K)</t>
        </is>
      </c>
      <c r="E1" s="1" t="inlineStr">
        <is>
          <t>Chặn (C)</t>
        </is>
      </c>
      <c r="F1" s="1" t="inlineStr">
        <is>
          <t>Không áp dụng (N)</t>
        </is>
      </c>
      <c r="G1" s="1" t="inlineStr">
        <is>
          <t>Chưa thử</t>
        </is>
      </c>
      <c r="H1" s="1" t="inlineStr">
        <is>
          <t>Tỷ lệ đạt trên TC áp dụng</t>
        </is>
      </c>
    </row>
    <row r="2">
      <c r="A2" t="inlineStr">
        <is>
          <t>UC-01</t>
        </is>
      </c>
      <c r="B2">
        <f>COUNTIF('Test case'!$B$2:$B$203,A2)</f>
        <v/>
      </c>
      <c r="C2">
        <f>COUNTIFS('Test case'!$B$2:$B$203,$A2,'Test case'!$K$2:$K$203,"Đ")</f>
        <v/>
      </c>
      <c r="D2">
        <f>COUNTIFS('Test case'!$B$2:$B$203,$A2,'Test case'!$K$2:$K$203,"K")</f>
        <v/>
      </c>
      <c r="E2">
        <f>COUNTIFS('Test case'!$B$2:$B$203,$A2,'Test case'!$K$2:$K$203,"C")</f>
        <v/>
      </c>
      <c r="F2">
        <f>COUNTIFS('Test case'!$B$2:$B$203,$A2,'Test case'!$K$2:$K$203,"N")</f>
        <v/>
      </c>
      <c r="G2">
        <f>B2-C2-D2-E2-F2</f>
        <v/>
      </c>
      <c r="H2" s="3">
        <f>IF(B2-F2=0,"",C2/(B2-F2))</f>
        <v/>
      </c>
    </row>
    <row r="3">
      <c r="A3" t="inlineStr">
        <is>
          <t>UC-02</t>
        </is>
      </c>
      <c r="B3">
        <f>COUNTIF('Test case'!$B$2:$B$203,A3)</f>
        <v/>
      </c>
      <c r="C3">
        <f>COUNTIFS('Test case'!$B$2:$B$203,$A3,'Test case'!$K$2:$K$203,"Đ")</f>
        <v/>
      </c>
      <c r="D3">
        <f>COUNTIFS('Test case'!$B$2:$B$203,$A3,'Test case'!$K$2:$K$203,"K")</f>
        <v/>
      </c>
      <c r="E3">
        <f>COUNTIFS('Test case'!$B$2:$B$203,$A3,'Test case'!$K$2:$K$203,"C")</f>
        <v/>
      </c>
      <c r="F3">
        <f>COUNTIFS('Test case'!$B$2:$B$203,$A3,'Test case'!$K$2:$K$203,"N")</f>
        <v/>
      </c>
      <c r="G3">
        <f>B3-C3-D3-E3-F3</f>
        <v/>
      </c>
      <c r="H3" s="3">
        <f>IF(B3-F3=0,"",C3/(B3-F3))</f>
        <v/>
      </c>
    </row>
    <row r="4">
      <c r="A4" t="inlineStr">
        <is>
          <t>UC-03</t>
        </is>
      </c>
      <c r="B4">
        <f>COUNTIF('Test case'!$B$2:$B$203,A4)</f>
        <v/>
      </c>
      <c r="C4">
        <f>COUNTIFS('Test case'!$B$2:$B$203,$A4,'Test case'!$K$2:$K$203,"Đ")</f>
        <v/>
      </c>
      <c r="D4">
        <f>COUNTIFS('Test case'!$B$2:$B$203,$A4,'Test case'!$K$2:$K$203,"K")</f>
        <v/>
      </c>
      <c r="E4">
        <f>COUNTIFS('Test case'!$B$2:$B$203,$A4,'Test case'!$K$2:$K$203,"C")</f>
        <v/>
      </c>
      <c r="F4">
        <f>COUNTIFS('Test case'!$B$2:$B$203,$A4,'Test case'!$K$2:$K$203,"N")</f>
        <v/>
      </c>
      <c r="G4">
        <f>B4-C4-D4-E4-F4</f>
        <v/>
      </c>
      <c r="H4" s="3">
        <f>IF(B4-F4=0,"",C4/(B4-F4))</f>
        <v/>
      </c>
    </row>
    <row r="5">
      <c r="A5" t="inlineStr">
        <is>
          <t>UC-04</t>
        </is>
      </c>
      <c r="B5">
        <f>COUNTIF('Test case'!$B$2:$B$203,A5)</f>
        <v/>
      </c>
      <c r="C5">
        <f>COUNTIFS('Test case'!$B$2:$B$203,$A5,'Test case'!$K$2:$K$203,"Đ")</f>
        <v/>
      </c>
      <c r="D5">
        <f>COUNTIFS('Test case'!$B$2:$B$203,$A5,'Test case'!$K$2:$K$203,"K")</f>
        <v/>
      </c>
      <c r="E5">
        <f>COUNTIFS('Test case'!$B$2:$B$203,$A5,'Test case'!$K$2:$K$203,"C")</f>
        <v/>
      </c>
      <c r="F5">
        <f>COUNTIFS('Test case'!$B$2:$B$203,$A5,'Test case'!$K$2:$K$203,"N")</f>
        <v/>
      </c>
      <c r="G5">
        <f>B5-C5-D5-E5-F5</f>
        <v/>
      </c>
      <c r="H5" s="3">
        <f>IF(B5-F5=0,"",C5/(B5-F5))</f>
        <v/>
      </c>
    </row>
    <row r="6">
      <c r="A6" t="inlineStr">
        <is>
          <t>UC-05</t>
        </is>
      </c>
      <c r="B6">
        <f>COUNTIF('Test case'!$B$2:$B$203,A6)</f>
        <v/>
      </c>
      <c r="C6">
        <f>COUNTIFS('Test case'!$B$2:$B$203,$A6,'Test case'!$K$2:$K$203,"Đ")</f>
        <v/>
      </c>
      <c r="D6">
        <f>COUNTIFS('Test case'!$B$2:$B$203,$A6,'Test case'!$K$2:$K$203,"K")</f>
        <v/>
      </c>
      <c r="E6">
        <f>COUNTIFS('Test case'!$B$2:$B$203,$A6,'Test case'!$K$2:$K$203,"C")</f>
        <v/>
      </c>
      <c r="F6">
        <f>COUNTIFS('Test case'!$B$2:$B$203,$A6,'Test case'!$K$2:$K$203,"N")</f>
        <v/>
      </c>
      <c r="G6">
        <f>B6-C6-D6-E6-F6</f>
        <v/>
      </c>
      <c r="H6" s="3">
        <f>IF(B6-F6=0,"",C6/(B6-F6))</f>
        <v/>
      </c>
    </row>
    <row r="7">
      <c r="A7" t="inlineStr">
        <is>
          <t>UC-06</t>
        </is>
      </c>
      <c r="B7">
        <f>COUNTIF('Test case'!$B$2:$B$203,A7)</f>
        <v/>
      </c>
      <c r="C7">
        <f>COUNTIFS('Test case'!$B$2:$B$203,$A7,'Test case'!$K$2:$K$203,"Đ")</f>
        <v/>
      </c>
      <c r="D7">
        <f>COUNTIFS('Test case'!$B$2:$B$203,$A7,'Test case'!$K$2:$K$203,"K")</f>
        <v/>
      </c>
      <c r="E7">
        <f>COUNTIFS('Test case'!$B$2:$B$203,$A7,'Test case'!$K$2:$K$203,"C")</f>
        <v/>
      </c>
      <c r="F7">
        <f>COUNTIFS('Test case'!$B$2:$B$203,$A7,'Test case'!$K$2:$K$203,"N")</f>
        <v/>
      </c>
      <c r="G7">
        <f>B7-C7-D7-E7-F7</f>
        <v/>
      </c>
      <c r="H7" s="3">
        <f>IF(B7-F7=0,"",C7/(B7-F7))</f>
        <v/>
      </c>
    </row>
    <row r="8">
      <c r="A8" t="inlineStr">
        <is>
          <t>UC-07</t>
        </is>
      </c>
      <c r="B8">
        <f>COUNTIF('Test case'!$B$2:$B$203,A8)</f>
        <v/>
      </c>
      <c r="C8">
        <f>COUNTIFS('Test case'!$B$2:$B$203,$A8,'Test case'!$K$2:$K$203,"Đ")</f>
        <v/>
      </c>
      <c r="D8">
        <f>COUNTIFS('Test case'!$B$2:$B$203,$A8,'Test case'!$K$2:$K$203,"K")</f>
        <v/>
      </c>
      <c r="E8">
        <f>COUNTIFS('Test case'!$B$2:$B$203,$A8,'Test case'!$K$2:$K$203,"C")</f>
        <v/>
      </c>
      <c r="F8">
        <f>COUNTIFS('Test case'!$B$2:$B$203,$A8,'Test case'!$K$2:$K$203,"N")</f>
        <v/>
      </c>
      <c r="G8">
        <f>B8-C8-D8-E8-F8</f>
        <v/>
      </c>
      <c r="H8" s="3">
        <f>IF(B8-F8=0,"",C8/(B8-F8))</f>
        <v/>
      </c>
    </row>
    <row r="9">
      <c r="A9" t="inlineStr">
        <is>
          <t>UC-08</t>
        </is>
      </c>
      <c r="B9">
        <f>COUNTIF('Test case'!$B$2:$B$203,A9)</f>
        <v/>
      </c>
      <c r="C9">
        <f>COUNTIFS('Test case'!$B$2:$B$203,$A9,'Test case'!$K$2:$K$203,"Đ")</f>
        <v/>
      </c>
      <c r="D9">
        <f>COUNTIFS('Test case'!$B$2:$B$203,$A9,'Test case'!$K$2:$K$203,"K")</f>
        <v/>
      </c>
      <c r="E9">
        <f>COUNTIFS('Test case'!$B$2:$B$203,$A9,'Test case'!$K$2:$K$203,"C")</f>
        <v/>
      </c>
      <c r="F9">
        <f>COUNTIFS('Test case'!$B$2:$B$203,$A9,'Test case'!$K$2:$K$203,"N")</f>
        <v/>
      </c>
      <c r="G9">
        <f>B9-C9-D9-E9-F9</f>
        <v/>
      </c>
      <c r="H9" s="3">
        <f>IF(B9-F9=0,"",C9/(B9-F9))</f>
        <v/>
      </c>
    </row>
    <row r="10">
      <c r="A10" t="inlineStr">
        <is>
          <t>UC-09</t>
        </is>
      </c>
      <c r="B10">
        <f>COUNTIF('Test case'!$B$2:$B$203,A10)</f>
        <v/>
      </c>
      <c r="C10">
        <f>COUNTIFS('Test case'!$B$2:$B$203,$A10,'Test case'!$K$2:$K$203,"Đ")</f>
        <v/>
      </c>
      <c r="D10">
        <f>COUNTIFS('Test case'!$B$2:$B$203,$A10,'Test case'!$K$2:$K$203,"K")</f>
        <v/>
      </c>
      <c r="E10">
        <f>COUNTIFS('Test case'!$B$2:$B$203,$A10,'Test case'!$K$2:$K$203,"C")</f>
        <v/>
      </c>
      <c r="F10">
        <f>COUNTIFS('Test case'!$B$2:$B$203,$A10,'Test case'!$K$2:$K$203,"N")</f>
        <v/>
      </c>
      <c r="G10">
        <f>B10-C10-D10-E10-F10</f>
        <v/>
      </c>
      <c r="H10" s="3">
        <f>IF(B10-F10=0,"",C10/(B10-F10))</f>
        <v/>
      </c>
    </row>
    <row r="11">
      <c r="A11" t="inlineStr">
        <is>
          <t>UC-10</t>
        </is>
      </c>
      <c r="B11">
        <f>COUNTIF('Test case'!$B$2:$B$203,A11)</f>
        <v/>
      </c>
      <c r="C11">
        <f>COUNTIFS('Test case'!$B$2:$B$203,$A11,'Test case'!$K$2:$K$203,"Đ")</f>
        <v/>
      </c>
      <c r="D11">
        <f>COUNTIFS('Test case'!$B$2:$B$203,$A11,'Test case'!$K$2:$K$203,"K")</f>
        <v/>
      </c>
      <c r="E11">
        <f>COUNTIFS('Test case'!$B$2:$B$203,$A11,'Test case'!$K$2:$K$203,"C")</f>
        <v/>
      </c>
      <c r="F11">
        <f>COUNTIFS('Test case'!$B$2:$B$203,$A11,'Test case'!$K$2:$K$203,"N")</f>
        <v/>
      </c>
      <c r="G11">
        <f>B11-C11-D11-E11-F11</f>
        <v/>
      </c>
      <c r="H11" s="3">
        <f>IF(B11-F11=0,"",C11/(B11-F11))</f>
        <v/>
      </c>
    </row>
    <row r="12">
      <c r="A12" t="inlineStr">
        <is>
          <t>UC-11</t>
        </is>
      </c>
      <c r="B12">
        <f>COUNTIF('Test case'!$B$2:$B$203,A12)</f>
        <v/>
      </c>
      <c r="C12">
        <f>COUNTIFS('Test case'!$B$2:$B$203,$A12,'Test case'!$K$2:$K$203,"Đ")</f>
        <v/>
      </c>
      <c r="D12">
        <f>COUNTIFS('Test case'!$B$2:$B$203,$A12,'Test case'!$K$2:$K$203,"K")</f>
        <v/>
      </c>
      <c r="E12">
        <f>COUNTIFS('Test case'!$B$2:$B$203,$A12,'Test case'!$K$2:$K$203,"C")</f>
        <v/>
      </c>
      <c r="F12">
        <f>COUNTIFS('Test case'!$B$2:$B$203,$A12,'Test case'!$K$2:$K$203,"N")</f>
        <v/>
      </c>
      <c r="G12">
        <f>B12-C12-D12-E12-F12</f>
        <v/>
      </c>
      <c r="H12" s="3">
        <f>IF(B12-F12=0,"",C12/(B12-F12))</f>
        <v/>
      </c>
    </row>
    <row r="13">
      <c r="A13" t="inlineStr">
        <is>
          <t>UC-12</t>
        </is>
      </c>
      <c r="B13">
        <f>COUNTIF('Test case'!$B$2:$B$203,A13)</f>
        <v/>
      </c>
      <c r="C13">
        <f>COUNTIFS('Test case'!$B$2:$B$203,$A13,'Test case'!$K$2:$K$203,"Đ")</f>
        <v/>
      </c>
      <c r="D13">
        <f>COUNTIFS('Test case'!$B$2:$B$203,$A13,'Test case'!$K$2:$K$203,"K")</f>
        <v/>
      </c>
      <c r="E13">
        <f>COUNTIFS('Test case'!$B$2:$B$203,$A13,'Test case'!$K$2:$K$203,"C")</f>
        <v/>
      </c>
      <c r="F13">
        <f>COUNTIFS('Test case'!$B$2:$B$203,$A13,'Test case'!$K$2:$K$203,"N")</f>
        <v/>
      </c>
      <c r="G13">
        <f>B13-C13-D13-E13-F13</f>
        <v/>
      </c>
      <c r="H13" s="3">
        <f>IF(B13-F13=0,"",C13/(B13-F13))</f>
        <v/>
      </c>
    </row>
    <row r="14">
      <c r="A14" t="inlineStr">
        <is>
          <t>UC-13</t>
        </is>
      </c>
      <c r="B14">
        <f>COUNTIF('Test case'!$B$2:$B$203,A14)</f>
        <v/>
      </c>
      <c r="C14">
        <f>COUNTIFS('Test case'!$B$2:$B$203,$A14,'Test case'!$K$2:$K$203,"Đ")</f>
        <v/>
      </c>
      <c r="D14">
        <f>COUNTIFS('Test case'!$B$2:$B$203,$A14,'Test case'!$K$2:$K$203,"K")</f>
        <v/>
      </c>
      <c r="E14">
        <f>COUNTIFS('Test case'!$B$2:$B$203,$A14,'Test case'!$K$2:$K$203,"C")</f>
        <v/>
      </c>
      <c r="F14">
        <f>COUNTIFS('Test case'!$B$2:$B$203,$A14,'Test case'!$K$2:$K$203,"N")</f>
        <v/>
      </c>
      <c r="G14">
        <f>B14-C14-D14-E14-F14</f>
        <v/>
      </c>
      <c r="H14" s="3">
        <f>IF(B14-F14=0,"",C14/(B14-F14))</f>
        <v/>
      </c>
    </row>
    <row r="15">
      <c r="A15" t="inlineStr">
        <is>
          <t>UC-14</t>
        </is>
      </c>
      <c r="B15">
        <f>COUNTIF('Test case'!$B$2:$B$203,A15)</f>
        <v/>
      </c>
      <c r="C15">
        <f>COUNTIFS('Test case'!$B$2:$B$203,$A15,'Test case'!$K$2:$K$203,"Đ")</f>
        <v/>
      </c>
      <c r="D15">
        <f>COUNTIFS('Test case'!$B$2:$B$203,$A15,'Test case'!$K$2:$K$203,"K")</f>
        <v/>
      </c>
      <c r="E15">
        <f>COUNTIFS('Test case'!$B$2:$B$203,$A15,'Test case'!$K$2:$K$203,"C")</f>
        <v/>
      </c>
      <c r="F15">
        <f>COUNTIFS('Test case'!$B$2:$B$203,$A15,'Test case'!$K$2:$K$203,"N")</f>
        <v/>
      </c>
      <c r="G15">
        <f>B15-C15-D15-E15-F15</f>
        <v/>
      </c>
      <c r="H15" s="3">
        <f>IF(B15-F15=0,"",C15/(B15-F15))</f>
        <v/>
      </c>
    </row>
    <row r="16">
      <c r="A16" t="inlineStr">
        <is>
          <t>UC-15</t>
        </is>
      </c>
      <c r="B16">
        <f>COUNTIF('Test case'!$B$2:$B$203,A16)</f>
        <v/>
      </c>
      <c r="C16">
        <f>COUNTIFS('Test case'!$B$2:$B$203,$A16,'Test case'!$K$2:$K$203,"Đ")</f>
        <v/>
      </c>
      <c r="D16">
        <f>COUNTIFS('Test case'!$B$2:$B$203,$A16,'Test case'!$K$2:$K$203,"K")</f>
        <v/>
      </c>
      <c r="E16">
        <f>COUNTIFS('Test case'!$B$2:$B$203,$A16,'Test case'!$K$2:$K$203,"C")</f>
        <v/>
      </c>
      <c r="F16">
        <f>COUNTIFS('Test case'!$B$2:$B$203,$A16,'Test case'!$K$2:$K$203,"N")</f>
        <v/>
      </c>
      <c r="G16">
        <f>B16-C16-D16-E16-F16</f>
        <v/>
      </c>
      <c r="H16" s="3">
        <f>IF(B16-F16=0,"",C16/(B16-F16))</f>
        <v/>
      </c>
    </row>
    <row r="17">
      <c r="A17" t="inlineStr">
        <is>
          <t>UC-16</t>
        </is>
      </c>
      <c r="B17">
        <f>COUNTIF('Test case'!$B$2:$B$203,A17)</f>
        <v/>
      </c>
      <c r="C17">
        <f>COUNTIFS('Test case'!$B$2:$B$203,$A17,'Test case'!$K$2:$K$203,"Đ")</f>
        <v/>
      </c>
      <c r="D17">
        <f>COUNTIFS('Test case'!$B$2:$B$203,$A17,'Test case'!$K$2:$K$203,"K")</f>
        <v/>
      </c>
      <c r="E17">
        <f>COUNTIFS('Test case'!$B$2:$B$203,$A17,'Test case'!$K$2:$K$203,"C")</f>
        <v/>
      </c>
      <c r="F17">
        <f>COUNTIFS('Test case'!$B$2:$B$203,$A17,'Test case'!$K$2:$K$203,"N")</f>
        <v/>
      </c>
      <c r="G17">
        <f>B17-C17-D17-E17-F17</f>
        <v/>
      </c>
      <c r="H17" s="3">
        <f>IF(B17-F17=0,"",C17/(B17-F17))</f>
        <v/>
      </c>
    </row>
    <row r="18">
      <c r="A18" t="inlineStr">
        <is>
          <t>UC-17</t>
        </is>
      </c>
      <c r="B18">
        <f>COUNTIF('Test case'!$B$2:$B$203,A18)</f>
        <v/>
      </c>
      <c r="C18">
        <f>COUNTIFS('Test case'!$B$2:$B$203,$A18,'Test case'!$K$2:$K$203,"Đ")</f>
        <v/>
      </c>
      <c r="D18">
        <f>COUNTIFS('Test case'!$B$2:$B$203,$A18,'Test case'!$K$2:$K$203,"K")</f>
        <v/>
      </c>
      <c r="E18">
        <f>COUNTIFS('Test case'!$B$2:$B$203,$A18,'Test case'!$K$2:$K$203,"C")</f>
        <v/>
      </c>
      <c r="F18">
        <f>COUNTIFS('Test case'!$B$2:$B$203,$A18,'Test case'!$K$2:$K$203,"N")</f>
        <v/>
      </c>
      <c r="G18">
        <f>B18-C18-D18-E18-F18</f>
        <v/>
      </c>
      <c r="H18" s="3">
        <f>IF(B18-F18=0,"",C18/(B18-F18))</f>
        <v/>
      </c>
    </row>
    <row r="19">
      <c r="A19" t="inlineStr">
        <is>
          <t>UC-18</t>
        </is>
      </c>
      <c r="B19">
        <f>COUNTIF('Test case'!$B$2:$B$203,A19)</f>
        <v/>
      </c>
      <c r="C19">
        <f>COUNTIFS('Test case'!$B$2:$B$203,$A19,'Test case'!$K$2:$K$203,"Đ")</f>
        <v/>
      </c>
      <c r="D19">
        <f>COUNTIFS('Test case'!$B$2:$B$203,$A19,'Test case'!$K$2:$K$203,"K")</f>
        <v/>
      </c>
      <c r="E19">
        <f>COUNTIFS('Test case'!$B$2:$B$203,$A19,'Test case'!$K$2:$K$203,"C")</f>
        <v/>
      </c>
      <c r="F19">
        <f>COUNTIFS('Test case'!$B$2:$B$203,$A19,'Test case'!$K$2:$K$203,"N")</f>
        <v/>
      </c>
      <c r="G19">
        <f>B19-C19-D19-E19-F19</f>
        <v/>
      </c>
      <c r="H19" s="3">
        <f>IF(B19-F19=0,"",C19/(B19-F19))</f>
        <v/>
      </c>
    </row>
    <row r="20">
      <c r="A20" t="inlineStr">
        <is>
          <t>UC-19</t>
        </is>
      </c>
      <c r="B20">
        <f>COUNTIF('Test case'!$B$2:$B$203,A20)</f>
        <v/>
      </c>
      <c r="C20">
        <f>COUNTIFS('Test case'!$B$2:$B$203,$A20,'Test case'!$K$2:$K$203,"Đ")</f>
        <v/>
      </c>
      <c r="D20">
        <f>COUNTIFS('Test case'!$B$2:$B$203,$A20,'Test case'!$K$2:$K$203,"K")</f>
        <v/>
      </c>
      <c r="E20">
        <f>COUNTIFS('Test case'!$B$2:$B$203,$A20,'Test case'!$K$2:$K$203,"C")</f>
        <v/>
      </c>
      <c r="F20">
        <f>COUNTIFS('Test case'!$B$2:$B$203,$A20,'Test case'!$K$2:$K$203,"N")</f>
        <v/>
      </c>
      <c r="G20">
        <f>B20-C20-D20-E20-F20</f>
        <v/>
      </c>
      <c r="H20" s="3">
        <f>IF(B20-F20=0,"",C20/(B20-F20))</f>
        <v/>
      </c>
    </row>
    <row r="21">
      <c r="A21" t="inlineStr">
        <is>
          <t>UC-20</t>
        </is>
      </c>
      <c r="B21">
        <f>COUNTIF('Test case'!$B$2:$B$203,A21)</f>
        <v/>
      </c>
      <c r="C21">
        <f>COUNTIFS('Test case'!$B$2:$B$203,$A21,'Test case'!$K$2:$K$203,"Đ")</f>
        <v/>
      </c>
      <c r="D21">
        <f>COUNTIFS('Test case'!$B$2:$B$203,$A21,'Test case'!$K$2:$K$203,"K")</f>
        <v/>
      </c>
      <c r="E21">
        <f>COUNTIFS('Test case'!$B$2:$B$203,$A21,'Test case'!$K$2:$K$203,"C")</f>
        <v/>
      </c>
      <c r="F21">
        <f>COUNTIFS('Test case'!$B$2:$B$203,$A21,'Test case'!$K$2:$K$203,"N")</f>
        <v/>
      </c>
      <c r="G21">
        <f>B21-C21-D21-E21-F21</f>
        <v/>
      </c>
      <c r="H21" s="3">
        <f>IF(B21-F21=0,"",C21/(B21-F21))</f>
        <v/>
      </c>
    </row>
    <row r="22">
      <c r="A22" t="inlineStr">
        <is>
          <t>UC-21</t>
        </is>
      </c>
      <c r="B22">
        <f>COUNTIF('Test case'!$B$2:$B$203,A22)</f>
        <v/>
      </c>
      <c r="C22">
        <f>COUNTIFS('Test case'!$B$2:$B$203,$A22,'Test case'!$K$2:$K$203,"Đ")</f>
        <v/>
      </c>
      <c r="D22">
        <f>COUNTIFS('Test case'!$B$2:$B$203,$A22,'Test case'!$K$2:$K$203,"K")</f>
        <v/>
      </c>
      <c r="E22">
        <f>COUNTIFS('Test case'!$B$2:$B$203,$A22,'Test case'!$K$2:$K$203,"C")</f>
        <v/>
      </c>
      <c r="F22">
        <f>COUNTIFS('Test case'!$B$2:$B$203,$A22,'Test case'!$K$2:$K$203,"N")</f>
        <v/>
      </c>
      <c r="G22">
        <f>B22-C22-D22-E22-F22</f>
        <v/>
      </c>
      <c r="H22" s="3">
        <f>IF(B22-F22=0,"",C22/(B22-F22))</f>
        <v/>
      </c>
    </row>
    <row r="23">
      <c r="A23" t="inlineStr">
        <is>
          <t>UC-22</t>
        </is>
      </c>
      <c r="B23">
        <f>COUNTIF('Test case'!$B$2:$B$203,A23)</f>
        <v/>
      </c>
      <c r="C23">
        <f>COUNTIFS('Test case'!$B$2:$B$203,$A23,'Test case'!$K$2:$K$203,"Đ")</f>
        <v/>
      </c>
      <c r="D23">
        <f>COUNTIFS('Test case'!$B$2:$B$203,$A23,'Test case'!$K$2:$K$203,"K")</f>
        <v/>
      </c>
      <c r="E23">
        <f>COUNTIFS('Test case'!$B$2:$B$203,$A23,'Test case'!$K$2:$K$203,"C")</f>
        <v/>
      </c>
      <c r="F23">
        <f>COUNTIFS('Test case'!$B$2:$B$203,$A23,'Test case'!$K$2:$K$203,"N")</f>
        <v/>
      </c>
      <c r="G23">
        <f>B23-C23-D23-E23-F23</f>
        <v/>
      </c>
      <c r="H23" s="3">
        <f>IF(B23-F23=0,"",C23/(B23-F23))</f>
        <v/>
      </c>
    </row>
    <row r="24">
      <c r="A24" t="inlineStr">
        <is>
          <t>UC-23</t>
        </is>
      </c>
      <c r="B24">
        <f>COUNTIF('Test case'!$B$2:$B$203,A24)</f>
        <v/>
      </c>
      <c r="C24">
        <f>COUNTIFS('Test case'!$B$2:$B$203,$A24,'Test case'!$K$2:$K$203,"Đ")</f>
        <v/>
      </c>
      <c r="D24">
        <f>COUNTIFS('Test case'!$B$2:$B$203,$A24,'Test case'!$K$2:$K$203,"K")</f>
        <v/>
      </c>
      <c r="E24">
        <f>COUNTIFS('Test case'!$B$2:$B$203,$A24,'Test case'!$K$2:$K$203,"C")</f>
        <v/>
      </c>
      <c r="F24">
        <f>COUNTIFS('Test case'!$B$2:$B$203,$A24,'Test case'!$K$2:$K$203,"N")</f>
        <v/>
      </c>
      <c r="G24">
        <f>B24-C24-D24-E24-F24</f>
        <v/>
      </c>
      <c r="H24" s="3">
        <f>IF(B24-F24=0,"",C24/(B24-F24))</f>
        <v/>
      </c>
    </row>
    <row r="25">
      <c r="A25" t="inlineStr">
        <is>
          <t>UC-24</t>
        </is>
      </c>
      <c r="B25">
        <f>COUNTIF('Test case'!$B$2:$B$203,A25)</f>
        <v/>
      </c>
      <c r="C25">
        <f>COUNTIFS('Test case'!$B$2:$B$203,$A25,'Test case'!$K$2:$K$203,"Đ")</f>
        <v/>
      </c>
      <c r="D25">
        <f>COUNTIFS('Test case'!$B$2:$B$203,$A25,'Test case'!$K$2:$K$203,"K")</f>
        <v/>
      </c>
      <c r="E25">
        <f>COUNTIFS('Test case'!$B$2:$B$203,$A25,'Test case'!$K$2:$K$203,"C")</f>
        <v/>
      </c>
      <c r="F25">
        <f>COUNTIFS('Test case'!$B$2:$B$203,$A25,'Test case'!$K$2:$K$203,"N")</f>
        <v/>
      </c>
      <c r="G25">
        <f>B25-C25-D25-E25-F25</f>
        <v/>
      </c>
      <c r="H25" s="3">
        <f>IF(B25-F25=0,"",C25/(B25-F25))</f>
        <v/>
      </c>
    </row>
    <row r="26">
      <c r="A26" t="inlineStr">
        <is>
          <t>UC-25</t>
        </is>
      </c>
      <c r="B26">
        <f>COUNTIF('Test case'!$B$2:$B$203,A26)</f>
        <v/>
      </c>
      <c r="C26">
        <f>COUNTIFS('Test case'!$B$2:$B$203,$A26,'Test case'!$K$2:$K$203,"Đ")</f>
        <v/>
      </c>
      <c r="D26">
        <f>COUNTIFS('Test case'!$B$2:$B$203,$A26,'Test case'!$K$2:$K$203,"K")</f>
        <v/>
      </c>
      <c r="E26">
        <f>COUNTIFS('Test case'!$B$2:$B$203,$A26,'Test case'!$K$2:$K$203,"C")</f>
        <v/>
      </c>
      <c r="F26">
        <f>COUNTIFS('Test case'!$B$2:$B$203,$A26,'Test case'!$K$2:$K$203,"N")</f>
        <v/>
      </c>
      <c r="G26">
        <f>B26-C26-D26-E26-F26</f>
        <v/>
      </c>
      <c r="H26" s="3">
        <f>IF(B26-F26=0,"",C26/(B26-F26))</f>
        <v/>
      </c>
    </row>
    <row r="27">
      <c r="A27" t="inlineStr">
        <is>
          <t>UC-26</t>
        </is>
      </c>
      <c r="B27">
        <f>COUNTIF('Test case'!$B$2:$B$203,A27)</f>
        <v/>
      </c>
      <c r="C27">
        <f>COUNTIFS('Test case'!$B$2:$B$203,$A27,'Test case'!$K$2:$K$203,"Đ")</f>
        <v/>
      </c>
      <c r="D27">
        <f>COUNTIFS('Test case'!$B$2:$B$203,$A27,'Test case'!$K$2:$K$203,"K")</f>
        <v/>
      </c>
      <c r="E27">
        <f>COUNTIFS('Test case'!$B$2:$B$203,$A27,'Test case'!$K$2:$K$203,"C")</f>
        <v/>
      </c>
      <c r="F27">
        <f>COUNTIFS('Test case'!$B$2:$B$203,$A27,'Test case'!$K$2:$K$203,"N")</f>
        <v/>
      </c>
      <c r="G27">
        <f>B27-C27-D27-E27-F27</f>
        <v/>
      </c>
      <c r="H27" s="3">
        <f>IF(B27-F27=0,"",C27/(B27-F27))</f>
        <v/>
      </c>
    </row>
    <row r="28">
      <c r="A28" t="inlineStr">
        <is>
          <t>UC-27</t>
        </is>
      </c>
      <c r="B28">
        <f>COUNTIF('Test case'!$B$2:$B$203,A28)</f>
        <v/>
      </c>
      <c r="C28">
        <f>COUNTIFS('Test case'!$B$2:$B$203,$A28,'Test case'!$K$2:$K$203,"Đ")</f>
        <v/>
      </c>
      <c r="D28">
        <f>COUNTIFS('Test case'!$B$2:$B$203,$A28,'Test case'!$K$2:$K$203,"K")</f>
        <v/>
      </c>
      <c r="E28">
        <f>COUNTIFS('Test case'!$B$2:$B$203,$A28,'Test case'!$K$2:$K$203,"C")</f>
        <v/>
      </c>
      <c r="F28">
        <f>COUNTIFS('Test case'!$B$2:$B$203,$A28,'Test case'!$K$2:$K$203,"N")</f>
        <v/>
      </c>
      <c r="G28">
        <f>B28-C28-D28-E28-F28</f>
        <v/>
      </c>
      <c r="H28" s="3">
        <f>IF(B28-F28=0,"",C28/(B28-F28))</f>
        <v/>
      </c>
    </row>
    <row r="29">
      <c r="A29" t="inlineStr">
        <is>
          <t>UC-28</t>
        </is>
      </c>
      <c r="B29">
        <f>COUNTIF('Test case'!$B$2:$B$203,A29)</f>
        <v/>
      </c>
      <c r="C29">
        <f>COUNTIFS('Test case'!$B$2:$B$203,$A29,'Test case'!$K$2:$K$203,"Đ")</f>
        <v/>
      </c>
      <c r="D29">
        <f>COUNTIFS('Test case'!$B$2:$B$203,$A29,'Test case'!$K$2:$K$203,"K")</f>
        <v/>
      </c>
      <c r="E29">
        <f>COUNTIFS('Test case'!$B$2:$B$203,$A29,'Test case'!$K$2:$K$203,"C")</f>
        <v/>
      </c>
      <c r="F29">
        <f>COUNTIFS('Test case'!$B$2:$B$203,$A29,'Test case'!$K$2:$K$203,"N")</f>
        <v/>
      </c>
      <c r="G29">
        <f>B29-C29-D29-E29-F29</f>
        <v/>
      </c>
      <c r="H29" s="3">
        <f>IF(B29-F29=0,"",C29/(B29-F29))</f>
        <v/>
      </c>
    </row>
    <row r="30">
      <c r="A30" s="4" t="inlineStr">
        <is>
          <t>Tổng</t>
        </is>
      </c>
      <c r="B30" s="4">
        <f>SUM(B2:B29)</f>
        <v/>
      </c>
      <c r="C30" s="4">
        <f>SUM(C2:C29)</f>
        <v/>
      </c>
      <c r="D30" s="4">
        <f>SUM(D2:D29)</f>
        <v/>
      </c>
      <c r="E30" s="4">
        <f>SUM(E2:E29)</f>
        <v/>
      </c>
      <c r="F30" s="4">
        <f>SUM(F2:F29)</f>
        <v/>
      </c>
      <c r="G30" s="4">
        <f>SUM(G2:G29)</f>
        <v/>
      </c>
      <c r="H30" s="5">
        <f>IF(B30-F30=0,"",C30/(B30-F30))</f>
        <v/>
      </c>
    </row>
    <row r="32">
      <c r="A32" s="6" t="inlineStr">
        <is>
          <t>Theo ưu tiên</t>
        </is>
      </c>
      <c r="B32" s="6" t="inlineStr">
        <is>
          <t>Số TC</t>
        </is>
      </c>
      <c r="C32" s="6" t="inlineStr">
        <is>
          <t>Đạt</t>
        </is>
      </c>
      <c r="D32" s="6" t="inlineStr">
        <is>
          <t>Không đạt</t>
        </is>
      </c>
      <c r="E32" s="6" t="inlineStr">
        <is>
          <t>Chặn</t>
        </is>
      </c>
      <c r="F32" s="6" t="inlineStr">
        <is>
          <t>Không áp dụng</t>
        </is>
      </c>
      <c r="G32" s="6" t="inlineStr">
        <is>
          <t>Chưa thử</t>
        </is>
      </c>
      <c r="H32" s="6" t="n"/>
    </row>
    <row r="33">
      <c r="A33" t="inlineStr">
        <is>
          <t>P1</t>
        </is>
      </c>
      <c r="B33">
        <f>COUNTIF('Test case'!$E$2:$E$203,A33)</f>
        <v/>
      </c>
      <c r="C33">
        <f>COUNTIFS('Test case'!$E$2:$E$203,$A33,'Test case'!$K$2:$K$203,"Đ")</f>
        <v/>
      </c>
      <c r="D33">
        <f>COUNTIFS('Test case'!$E$2:$E$203,$A33,'Test case'!$K$2:$K$203,"K")</f>
        <v/>
      </c>
      <c r="E33">
        <f>COUNTIFS('Test case'!$E$2:$E$203,$A33,'Test case'!$K$2:$K$203,"C")</f>
        <v/>
      </c>
      <c r="F33">
        <f>COUNTIFS('Test case'!$E$2:$E$203,$A33,'Test case'!$K$2:$K$203,"N")</f>
        <v/>
      </c>
      <c r="G33">
        <f>B33-C33-D33-E33-F33</f>
        <v/>
      </c>
    </row>
    <row r="34">
      <c r="A34" t="inlineStr">
        <is>
          <t>P2</t>
        </is>
      </c>
      <c r="B34">
        <f>COUNTIF('Test case'!$E$2:$E$203,A34)</f>
        <v/>
      </c>
      <c r="C34">
        <f>COUNTIFS('Test case'!$E$2:$E$203,$A34,'Test case'!$K$2:$K$203,"Đ")</f>
        <v/>
      </c>
      <c r="D34">
        <f>COUNTIFS('Test case'!$E$2:$E$203,$A34,'Test case'!$K$2:$K$203,"K")</f>
        <v/>
      </c>
      <c r="E34">
        <f>COUNTIFS('Test case'!$E$2:$E$203,$A34,'Test case'!$K$2:$K$203,"C")</f>
        <v/>
      </c>
      <c r="F34">
        <f>COUNTIFS('Test case'!$E$2:$E$203,$A34,'Test case'!$K$2:$K$203,"N")</f>
        <v/>
      </c>
      <c r="G34">
        <f>B34-C34-D34-E34-F34</f>
        <v/>
      </c>
    </row>
    <row r="35">
      <c r="A35" t="inlineStr">
        <is>
          <t>P3</t>
        </is>
      </c>
      <c r="B35">
        <f>COUNTIF('Test case'!$E$2:$E$203,A35)</f>
        <v/>
      </c>
      <c r="C35">
        <f>COUNTIFS('Test case'!$E$2:$E$203,$A35,'Test case'!$K$2:$K$203,"Đ")</f>
        <v/>
      </c>
      <c r="D35">
        <f>COUNTIFS('Test case'!$E$2:$E$203,$A35,'Test case'!$K$2:$K$203,"K")</f>
        <v/>
      </c>
      <c r="E35">
        <f>COUNTIFS('Test case'!$E$2:$E$203,$A35,'Test case'!$K$2:$K$203,"C")</f>
        <v/>
      </c>
      <c r="F35">
        <f>COUNTIFS('Test case'!$E$2:$E$203,$A35,'Test case'!$K$2:$K$203,"N")</f>
        <v/>
      </c>
      <c r="G35">
        <f>B35-C35-D35-E35-F35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90" customWidth="1" min="3" max="3"/>
    <col width="40" customWidth="1" min="4" max="4"/>
  </cols>
  <sheetData>
    <row r="1">
      <c r="A1" s="1" t="inlineStr">
        <is>
          <t>Mã AC</t>
        </is>
      </c>
      <c r="B1" s="1" t="inlineStr">
        <is>
          <t>UC</t>
        </is>
      </c>
      <c r="C1" s="1" t="inlineStr">
        <is>
          <t>Nội dung</t>
        </is>
      </c>
      <c r="D1" s="1" t="inlineStr">
        <is>
          <t>Test case chứng minh</t>
        </is>
      </c>
    </row>
    <row r="2">
      <c r="A2" s="7" t="inlineStr">
        <is>
          <t>AC-01.1</t>
        </is>
      </c>
      <c r="B2" s="7" t="inlineStr">
        <is>
          <t>UC-01</t>
        </is>
      </c>
      <c r="C2" s="7" t="inlineStr">
        <is>
          <t>Đăng nhập đúng thì vào được; menu và nút chỉ hiện cho chức năng thuộc quyền của vai trò.</t>
        </is>
      </c>
      <c r="D2" s="7" t="inlineStr">
        <is>
          <t>TC-01-01, TC-01-02</t>
        </is>
      </c>
    </row>
    <row r="3">
      <c r="A3" s="7" t="inlineStr">
        <is>
          <t>AC-01.2</t>
        </is>
      </c>
      <c r="B3" s="7" t="inlineStr">
        <is>
          <t>UC-01</t>
        </is>
      </c>
      <c r="C3" s="7" t="inlineStr">
        <is>
          <t>Thông báo lỗi khi sai tên hoặc sai mật khẩu **giống nhau**, không cho biết tên có tồn tại hay không.</t>
        </is>
      </c>
      <c r="D3" s="7" t="inlineStr">
        <is>
          <t>TC-01-03</t>
        </is>
      </c>
    </row>
    <row r="4">
      <c r="A4" s="7" t="inlineStr">
        <is>
          <t>AC-01.3</t>
        </is>
      </c>
      <c r="B4" s="7" t="inlineStr">
        <is>
          <t>UC-01</t>
        </is>
      </c>
      <c r="C4" s="7" t="inlineStr">
        <is>
          <t>Sau 5 lần sai liên tiếp trong 15 phút, tài khoản bị khóa tạm; trong thời gian khóa, mật khẩu đúng vẫn bị từ chối.</t>
        </is>
      </c>
      <c r="D4" s="7" t="inlineStr">
        <is>
          <t>TC-01-04, TC-01-05</t>
        </is>
      </c>
    </row>
    <row r="5">
      <c r="A5" s="7" t="inlineStr">
        <is>
          <t>AC-01.4</t>
        </is>
      </c>
      <c r="B5" s="7" t="inlineStr">
        <is>
          <t>UC-01</t>
        </is>
      </c>
      <c r="C5" s="7" t="inlineStr">
        <is>
          <t>Đăng xuất hoặc vô hiệu hóa tài khoản làm phiên đang mở mất hiệu lực ngay.</t>
        </is>
      </c>
      <c r="D5" s="7" t="inlineStr">
        <is>
          <t>TC-01-06, TC-01-07</t>
        </is>
      </c>
    </row>
    <row r="6">
      <c r="A6" s="7" t="inlineStr">
        <is>
          <t>AC-01.5</t>
        </is>
      </c>
      <c r="B6" s="7" t="inlineStr">
        <is>
          <t>UC-01</t>
        </is>
      </c>
      <c r="C6" s="7" t="inlineStr">
        <is>
          <t>Không thao tác 30 phút thì phiên tự đóng; còn 2 phút hiện cảnh báo cho phép gia hạn.</t>
        </is>
      </c>
      <c r="D6" s="7" t="inlineStr">
        <is>
          <t>TC-01-08</t>
        </is>
      </c>
    </row>
    <row r="7">
      <c r="A7" s="7" t="inlineStr">
        <is>
          <t>AC-01.6</t>
        </is>
      </c>
      <c r="B7" s="7" t="inlineStr">
        <is>
          <t>UC-01</t>
        </is>
      </c>
      <c r="C7" s="7" t="inlineStr">
        <is>
          <t>Truy cập không phiên vào trang trong ứng dụng được chuyển về trang đăng nhập; gọi API không phiên nhận 401.</t>
        </is>
      </c>
      <c r="D7" s="7" t="inlineStr">
        <is>
          <t>TC-01-09</t>
        </is>
      </c>
    </row>
    <row r="8">
      <c r="A8" s="7" t="inlineStr">
        <is>
          <t>AC-01.7</t>
        </is>
      </c>
      <c r="B8" s="7" t="inlineStr">
        <is>
          <t>UC-01</t>
        </is>
      </c>
      <c r="C8" s="7" t="inlineStr">
        <is>
          <t>Tài khoản chưa có vai trò đăng nhập được nhưng không đọc được dữ liệu nghiệp vụ (403).</t>
        </is>
      </c>
      <c r="D8" s="7" t="inlineStr">
        <is>
          <t>TC-01-10</t>
        </is>
      </c>
    </row>
    <row r="9">
      <c r="A9" s="7" t="inlineStr">
        <is>
          <t>AC-01.8</t>
        </is>
      </c>
      <c r="B9" s="7" t="inlineStr">
        <is>
          <t>UC-01</t>
        </is>
      </c>
      <c r="C9" s="7" t="inlineStr">
        <is>
          <t>Mật khẩu mới ngắn hơn 12 ký tự bị từ chối.</t>
        </is>
      </c>
      <c r="D9" s="7" t="inlineStr">
        <is>
          <t>TC-01-11</t>
        </is>
      </c>
    </row>
    <row r="10">
      <c r="A10" s="7" t="inlineStr">
        <is>
          <t>AC-02.1</t>
        </is>
      </c>
      <c r="B10" s="7" t="inlineStr">
        <is>
          <t>UC-02</t>
        </is>
      </c>
      <c r="C10" s="7" t="inlineStr">
        <is>
          <t>Tạo được tài khoản mới, gán được vai trò có ngày bắt đầu và kết thúc; vai trò hết hạn thì không còn quyền.</t>
        </is>
      </c>
      <c r="D10" s="7" t="inlineStr">
        <is>
          <t>TC-02-01, TC-02-02</t>
        </is>
      </c>
    </row>
    <row r="11">
      <c r="A11" s="7" t="inlineStr">
        <is>
          <t>AC-02.2</t>
        </is>
      </c>
      <c r="B11" s="7" t="inlineStr">
        <is>
          <t>UC-02</t>
        </is>
      </c>
      <c r="C11" s="7" t="inlineStr">
        <is>
          <t>Vai trò `QUAN_TRI_HE_THONG`, `QUAN_TRI_DU_LIEU`, `DAI_DIEN_THUONG_VU` phải đứng riêng, không đi kèm vai trò nào khác.</t>
        </is>
      </c>
      <c r="D11" s="7" t="inlineStr">
        <is>
          <t>TC-02-03</t>
        </is>
      </c>
    </row>
    <row r="12">
      <c r="A12" s="7" t="inlineStr">
        <is>
          <t>AC-02.3</t>
        </is>
      </c>
      <c r="B12" s="7" t="inlineStr">
        <is>
          <t>UC-02</t>
        </is>
      </c>
      <c r="C12" s="7" t="inlineStr">
        <is>
          <t>Không tự cấp vai trò cho chính mình, không tự vô hiệu hóa chính mình.</t>
        </is>
      </c>
      <c r="D12" s="7" t="inlineStr">
        <is>
          <t>TC-02-04</t>
        </is>
      </c>
    </row>
    <row r="13">
      <c r="A13" s="7" t="inlineStr">
        <is>
          <t>AC-02.4</t>
        </is>
      </c>
      <c r="B13" s="7" t="inlineStr">
        <is>
          <t>UC-02</t>
        </is>
      </c>
      <c r="C13" s="7" t="inlineStr">
        <is>
          <t>`quantri` không thấy, không gọi được chức năng đánh giá, phê duyệt (không có quyền nghiệp vụ).</t>
        </is>
      </c>
      <c r="D13" s="7" t="inlineStr">
        <is>
          <t>TC-02-05</t>
        </is>
      </c>
    </row>
    <row r="14">
      <c r="A14" s="7" t="inlineStr">
        <is>
          <t>AC-02.5</t>
        </is>
      </c>
      <c r="B14" s="7" t="inlineStr">
        <is>
          <t>UC-02</t>
        </is>
      </c>
      <c r="C14" s="7" t="inlineStr">
        <is>
          <t>Vô hiệu hóa tài khoản đang đăng nhập làm phiên của người đó mất hiệu lực ngay.</t>
        </is>
      </c>
      <c r="D14" s="7" t="inlineStr">
        <is>
          <t>TC-02-06</t>
        </is>
      </c>
    </row>
    <row r="15">
      <c r="A15" s="7" t="inlineStr">
        <is>
          <t>AC-03.1</t>
        </is>
      </c>
      <c r="B15" s="7" t="inlineStr">
        <is>
          <t>UC-03</t>
        </is>
      </c>
      <c r="C15" s="7" t="inlineStr">
        <is>
          <t>Cây tổ chức hiển thị đủ Ban và các phòng, vị trí theo cấp; cấp trên, cấp dưới của một cán bộ xác định đúng.</t>
        </is>
      </c>
      <c r="D15" s="7" t="inlineStr">
        <is>
          <t>TC-03-01, TC-03-02</t>
        </is>
      </c>
    </row>
    <row r="16">
      <c r="A16" s="7" t="inlineStr">
        <is>
          <t>AC-03.2</t>
        </is>
      </c>
      <c r="B16" s="7" t="inlineStr">
        <is>
          <t>UC-03</t>
        </is>
      </c>
      <c r="C16" s="7" t="inlineStr">
        <is>
          <t>"Xóa" đơn vị, vị trí, công việc chỉ là đổi sang trạng thái ngừng sử dụng, có lý do, kích hoạt lại được; dữ liệu cũ vẫn xem được.</t>
        </is>
      </c>
      <c r="D16" s="7" t="inlineStr">
        <is>
          <t>TC-03-03, TC-03-04</t>
        </is>
      </c>
    </row>
    <row r="17">
      <c r="A17" s="7" t="inlineStr">
        <is>
          <t>AC-03.3</t>
        </is>
      </c>
      <c r="B17" s="7" t="inlineStr">
        <is>
          <t>UC-03</t>
        </is>
      </c>
      <c r="C17" s="7" t="inlineStr">
        <is>
          <t>Cán bộ kiêm nhiệm có hai phân công đồng thời, mỗi vị trí một phiếu đánh giá và điểm riêng, **không gộp điểm** **[GĐ: kiêm nhiệm, mỗi vị trí một phiếu]**.</t>
        </is>
      </c>
      <c r="D17" s="7" t="inlineStr">
        <is>
          <t>TC-03-05</t>
        </is>
      </c>
    </row>
    <row r="18">
      <c r="A18" s="7" t="inlineStr">
        <is>
          <t>AC-03.4</t>
        </is>
      </c>
      <c r="B18" s="7" t="inlineStr">
        <is>
          <t>UC-03</t>
        </is>
      </c>
      <c r="C18" s="7" t="inlineStr">
        <is>
          <t>Chỉ người có `org:manage` thêm, sửa được; chuyên viên chỉ xem (nếu có quyền `org:read`) và không thấy nút thêm, sửa.</t>
        </is>
      </c>
      <c r="D18" s="7" t="inlineStr">
        <is>
          <t>TC-03-06</t>
        </is>
      </c>
    </row>
    <row r="19">
      <c r="A19" s="7" t="inlineStr">
        <is>
          <t>AC-03.5</t>
        </is>
      </c>
      <c r="B19" s="7" t="inlineStr">
        <is>
          <t>UC-03</t>
        </is>
      </c>
      <c r="C19" s="7" t="inlineStr">
        <is>
          <t>Nhập tổ chức từ Excel chạy lại nhiều lần không tạo trùng; chế độ `--dry-run` không ghi dữ liệu.</t>
        </is>
      </c>
      <c r="D19" s="7" t="inlineStr">
        <is>
          <t>TC-03-07</t>
        </is>
      </c>
    </row>
    <row r="20">
      <c r="A20" s="7" t="inlineStr">
        <is>
          <t>AC-03.6</t>
        </is>
      </c>
      <c r="B20" s="7" t="inlineStr">
        <is>
          <t>UC-03</t>
        </is>
      </c>
      <c r="C20" s="7" t="inlineStr">
        <is>
          <t>Cờ lãnh đạo, quản lý của vị trí quyết định bảng tiêu chí chung và công thức KPI áp dụng (xem UC-09, UC-10).</t>
        </is>
      </c>
      <c r="D20" s="7" t="inlineStr">
        <is>
          <t>TC-03-08</t>
        </is>
      </c>
    </row>
    <row r="21">
      <c r="A21" s="7" t="inlineStr">
        <is>
          <t>AC-04.1</t>
        </is>
      </c>
      <c r="B21" s="7" t="inlineStr">
        <is>
          <t>UC-04</t>
        </is>
      </c>
      <c r="C21" s="7" t="inlineStr">
        <is>
          <t>Cấu trúc ba cấp Nhóm → Nhiệm vụ → Công việc; nhóm thêm được, sắp A–Z.</t>
        </is>
      </c>
      <c r="D21" s="7" t="inlineStr">
        <is>
          <t>TC-04-01, TC-04-03</t>
        </is>
      </c>
    </row>
    <row r="22">
      <c r="A22" s="7" t="inlineStr">
        <is>
          <t>AC-04.2</t>
        </is>
      </c>
      <c r="B22" s="7" t="inlineStr">
        <is>
          <t>UC-04</t>
        </is>
      </c>
      <c r="C22" s="7" t="inlineStr">
        <is>
          <t>Nhập Excel luôn tạo **bản nháp mới**, không bao giờ ghi đè bản đã duyệt.</t>
        </is>
      </c>
      <c r="D22" s="7" t="inlineStr">
        <is>
          <t>TC-04-02</t>
        </is>
      </c>
    </row>
    <row r="23">
      <c r="A23" s="7" t="inlineStr">
        <is>
          <t>AC-04.3</t>
        </is>
      </c>
      <c r="B23" s="7" t="inlineStr">
        <is>
          <t>UC-04</t>
        </is>
      </c>
      <c r="C23" s="7" t="inlineStr">
        <is>
          <t>Chỉ người có `catalog:approve` (Trưởng ban) phê duyệt được; sau phê duyệt, mọi thao tác sửa bản đó bị từ chối.</t>
        </is>
      </c>
      <c r="D23" s="7" t="inlineStr">
        <is>
          <t>TC-04-04, TC-04-05, TC-04-06</t>
        </is>
      </c>
    </row>
    <row r="24">
      <c r="A24" s="7" t="inlineStr">
        <is>
          <t>AC-04.4</t>
        </is>
      </c>
      <c r="B24" s="7" t="inlineStr">
        <is>
          <t>UC-04</t>
        </is>
      </c>
      <c r="C24" s="7" t="inlineStr">
        <is>
          <t>Công việc có phạm vi áp dụng theo đơn vị, vị trí thì chỉ giao được đúng người thuộc phạm vi.</t>
        </is>
      </c>
      <c r="D24" s="7" t="inlineStr">
        <is>
          <t>TC-04-07</t>
        </is>
      </c>
    </row>
    <row r="25">
      <c r="A25" s="7" t="inlineStr">
        <is>
          <t>AC-04.5</t>
        </is>
      </c>
      <c r="B25" s="7" t="inlineStr">
        <is>
          <t>UC-04</t>
        </is>
      </c>
      <c r="C25" s="7" t="inlineStr">
        <is>
          <t>Mỗi công việc có hệ số quy đổi; hệ số dùng trong tính điểm KPI.</t>
        </is>
      </c>
      <c r="D25" s="7" t="inlineStr">
        <is>
          <t>TC-04-08</t>
        </is>
      </c>
    </row>
    <row r="26">
      <c r="A26" s="7" t="inlineStr">
        <is>
          <t>AC-05.1</t>
        </is>
      </c>
      <c r="B26" s="7" t="inlineStr">
        <is>
          <t>UC-05</t>
        </is>
      </c>
      <c r="C26" s="7" t="inlineStr">
        <is>
          <t>Chỉ giao việc cho **cấp dưới trực tiếp** theo cây vị trí.</t>
        </is>
      </c>
      <c r="D26" s="7" t="inlineStr">
        <is>
          <t>TC-05-01, TC-05-02</t>
        </is>
      </c>
    </row>
    <row r="27">
      <c r="A27" s="7" t="inlineStr">
        <is>
          <t>AC-05.2</t>
        </is>
      </c>
      <c r="B27" s="7" t="inlineStr">
        <is>
          <t>UC-05</t>
        </is>
      </c>
      <c r="C27" s="7" t="inlineStr">
        <is>
          <t>Chỉ giao được công việc nằm trong danh mục hiện hành và đúng phạm vi áp dụng.</t>
        </is>
      </c>
      <c r="D27" s="7" t="inlineStr">
        <is>
          <t>TC-05-03</t>
        </is>
      </c>
    </row>
    <row r="28">
      <c r="A28" s="7" t="inlineStr">
        <is>
          <t>AC-05.3</t>
        </is>
      </c>
      <c r="B28" s="7" t="inlineStr">
        <is>
          <t>UC-05</t>
        </is>
      </c>
      <c r="C28" s="7" t="inlineStr">
        <is>
          <t>Cán bộ được giao nhận thông báo trong hệ thống; việc hiện trong danh sách `/tasks` của họ.</t>
        </is>
      </c>
      <c r="D28" s="7" t="inlineStr">
        <is>
          <t>TC-05-01, TC-05-05</t>
        </is>
      </c>
    </row>
    <row r="29">
      <c r="A29" s="7" t="inlineStr">
        <is>
          <t>AC-05.4</t>
        </is>
      </c>
      <c r="B29" s="7" t="inlineStr">
        <is>
          <t>UC-05</t>
        </is>
      </c>
      <c r="C29" s="7" t="inlineStr">
        <is>
          <t>Người duyệt (cc), người tham vấn xem và trao đổi được trên việc; tệp đính kèm lưu ở MinIO và tải lại được.</t>
        </is>
      </c>
      <c r="D29" s="7" t="inlineStr">
        <is>
          <t>TC-05-04</t>
        </is>
      </c>
    </row>
    <row r="30">
      <c r="A30" s="7" t="inlineStr">
        <is>
          <t>AC-06.1</t>
        </is>
      </c>
      <c r="B30" s="7" t="inlineStr">
        <is>
          <t>UC-06</t>
        </is>
      </c>
      <c r="C30" s="7" t="inlineStr">
        <is>
          <t>Báo cáo hoàn thành quá hạn được đếm là **một lần chậm** của dòng việc đó.</t>
        </is>
      </c>
      <c r="D30" s="7" t="inlineStr">
        <is>
          <t>TC-06-01, TC-06-02</t>
        </is>
      </c>
    </row>
    <row r="31">
      <c r="A31" s="7" t="inlineStr">
        <is>
          <t>AC-06.2</t>
        </is>
      </c>
      <c r="B31" s="7" t="inlineStr">
        <is>
          <t>UC-06</t>
        </is>
      </c>
      <c r="C31" s="7" t="inlineStr">
        <is>
          <t>Từ chối vì **sai sót lớn về nội dung** tính một lần chưa đạt (R); từ chối vì lý do nhỏ chỉ yêu cầu làm lại, **không** tính vào R.</t>
        </is>
      </c>
      <c r="D31" s="7" t="inlineStr">
        <is>
          <t>TC-06-03, TC-06-04</t>
        </is>
      </c>
    </row>
    <row r="32">
      <c r="A32" s="7" t="inlineStr">
        <is>
          <t>AC-06.3</t>
        </is>
      </c>
      <c r="B32" s="7" t="inlineStr">
        <is>
          <t>UC-06</t>
        </is>
      </c>
      <c r="C32" s="7" t="inlineStr">
        <is>
          <t>Chỉ cấp trên có thẩm quyền xác nhận, từ chối được; cán bộ không tự xác nhận việc của mình.</t>
        </is>
      </c>
      <c r="D32" s="7" t="inlineStr">
        <is>
          <t>TC-06-05</t>
        </is>
      </c>
    </row>
    <row r="33">
      <c r="A33" s="7" t="inlineStr">
        <is>
          <t>AC-06.4</t>
        </is>
      </c>
      <c r="B33" s="7" t="inlineStr">
        <is>
          <t>UC-06</t>
        </is>
      </c>
      <c r="C33" s="7" t="inlineStr">
        <is>
          <t>Miễn trừ phải có căn cứ từ 10 ký tự, mỗi lần báo cáo có tối đa một miễn trừ đang hiệu lực, chỉ cấp được cho lần đang bị tính chậm hoặc chưa đạt. Lần được miễn không tính vào số lần chậm, chưa đạt; thu hồi miễn trừ thì tính lại; cả hai thao tác có nhật ký.</t>
        </is>
      </c>
      <c r="D33" s="7" t="inlineStr">
        <is>
          <t>TC-06-06, TC-06-07, TC-06-08</t>
        </is>
      </c>
    </row>
    <row r="34">
      <c r="A34" s="7" t="inlineStr">
        <is>
          <t>AC-06.5</t>
        </is>
      </c>
      <c r="B34" s="7" t="inlineStr">
        <is>
          <t>UC-06</t>
        </is>
      </c>
      <c r="C34" s="7" t="inlineStr">
        <is>
          <t>Số lượng hoàn thành tính cho điểm A không vượt số lượng giao (vượt mức không được cộng thêm).</t>
        </is>
      </c>
      <c r="D34" s="7" t="inlineStr">
        <is>
          <t>TC-06-09</t>
        </is>
      </c>
    </row>
    <row r="35">
      <c r="A35" s="7" t="inlineStr">
        <is>
          <t>AC-07.1</t>
        </is>
      </c>
      <c r="B35" s="7" t="inlineStr">
        <is>
          <t>UC-07</t>
        </is>
      </c>
      <c r="C35" s="7" t="inlineStr">
        <is>
          <t>Việc do cán bộ đề xuất chỉ tính vào hồ sơ sau khi cấp trên **duyệt**; chưa duyệt thì hiện ở mục "Cần xử lý" của cấp trên.</t>
        </is>
      </c>
      <c r="D35" s="7" t="inlineStr">
        <is>
          <t>TC-07-01, TC-07-02</t>
        </is>
      </c>
    </row>
    <row r="36">
      <c r="A36" s="7" t="inlineStr">
        <is>
          <t>AC-07.2</t>
        </is>
      </c>
      <c r="B36" s="7" t="inlineStr">
        <is>
          <t>UC-07</t>
        </is>
      </c>
      <c r="C36" s="7" t="inlineStr">
        <is>
          <t>Việc lặp tạo đúng số lần theo chu kỳ đã chọn, không sinh trùng khi chạy lại.</t>
        </is>
      </c>
      <c r="D36" s="7" t="inlineStr">
        <is>
          <t>TC-07-03</t>
        </is>
      </c>
    </row>
    <row r="37">
      <c r="A37" s="7" t="inlineStr">
        <is>
          <t>AC-07.3</t>
        </is>
      </c>
      <c r="B37" s="7" t="inlineStr">
        <is>
          <t>UC-07</t>
        </is>
      </c>
      <c r="C37" s="7" t="inlineStr">
        <is>
          <t>Việc đột xuất không dùng để tính điều kiện "dưới 70% kế hoạch" hay "trên 50% không hoàn thành" của năm (thiết kế về kỷ luật và điều kiện xếp loại mục 3).</t>
        </is>
      </c>
      <c r="D37" s="7" t="inlineStr">
        <is>
          <t>TC-07-04</t>
        </is>
      </c>
    </row>
    <row r="38">
      <c r="A38" s="7" t="inlineStr">
        <is>
          <t>AC-08.1</t>
        </is>
      </c>
      <c r="B38" s="7" t="inlineStr">
        <is>
          <t>UC-08</t>
        </is>
      </c>
      <c r="C38" s="7" t="inlineStr">
        <is>
          <t>Có kỳ tháng, quý I–III và năm; quý IV không có xếp loại riêng, gộp vào năm.</t>
        </is>
      </c>
      <c r="D38" s="7" t="inlineStr">
        <is>
          <t>TC-08-01</t>
        </is>
      </c>
    </row>
    <row r="39">
      <c r="A39" s="7" t="inlineStr">
        <is>
          <t>AC-08.2</t>
        </is>
      </c>
      <c r="B39" s="7" t="inlineStr">
        <is>
          <t>UC-08</t>
        </is>
      </c>
      <c r="C39" s="7" t="inlineStr">
        <is>
          <t>Hồ sơ tạo từ việc gộp theo mã công việc, mang số lượng giao, số lần chậm và chưa đạt từ UC-06.</t>
        </is>
      </c>
      <c r="D39" s="7" t="inlineStr">
        <is>
          <t>TC-08-02</t>
        </is>
      </c>
    </row>
    <row r="40">
      <c r="A40" s="7" t="inlineStr">
        <is>
          <t>AC-08.3</t>
        </is>
      </c>
      <c r="B40" s="7" t="inlineStr">
        <is>
          <t>UC-08</t>
        </is>
      </c>
      <c r="C40" s="7" t="inlineStr">
        <is>
          <t>Hồ sơ cùng kỳ của cùng một vị trí không tạo trùng.</t>
        </is>
      </c>
      <c r="D40" s="7" t="inlineStr">
        <is>
          <t>TC-08-03</t>
        </is>
      </c>
    </row>
    <row r="41">
      <c r="A41" s="7" t="inlineStr">
        <is>
          <t>AC-08.4</t>
        </is>
      </c>
      <c r="B41" s="7" t="inlineStr">
        <is>
          <t>UC-08</t>
        </is>
      </c>
      <c r="C41" s="7" t="inlineStr">
        <is>
          <t>Cán bộ chỉ xem được hồ sơ của mình; người quản lý xem được hồ sơ của cấp dưới theo cây vị trí; Văn phòng và Trưởng ban xem toàn Ban.</t>
        </is>
      </c>
      <c r="D41" s="7" t="inlineStr">
        <is>
          <t>TC-08-04</t>
        </is>
      </c>
    </row>
    <row r="42">
      <c r="A42" s="7" t="inlineStr">
        <is>
          <t>AC-09.1</t>
        </is>
      </c>
      <c r="B42" s="7" t="inlineStr">
        <is>
          <t>UC-09</t>
        </is>
      </c>
      <c r="C42" s="7" t="inlineStr">
        <is>
          <t>Vị trí có cờ lãnh đạo, quản lý dùng bảng 05-HD/TU Phụ lục 03 (nhóm 1: 18 điểm, nhóm 2: 4 điểm, nhóm 3: 8 điểm); vị trí khác dùng bảng Nghị định 335 Mẫu số 01 (5 + 5, 4 × 2,5, 4 × 2,5). Mỗi bảng tổng đúng 30 điểm.</t>
        </is>
      </c>
      <c r="D42" s="7" t="inlineStr">
        <is>
          <t>TC-09-01, TC-09-02</t>
        </is>
      </c>
    </row>
    <row r="43">
      <c r="A43" s="7" t="inlineStr">
        <is>
          <t>AC-09.2</t>
        </is>
      </c>
      <c r="B43" s="7" t="inlineStr">
        <is>
          <t>UC-09</t>
        </is>
      </c>
      <c r="C43" s="7" t="inlineStr">
        <is>
          <t>Mục "Đảm bảo" được điểm tối đa, "Không đảm bảo" được 0; chọn Không đảm bảo mà không ghi căn cứ thì không gửi được.</t>
        </is>
      </c>
      <c r="D43" s="7" t="inlineStr">
        <is>
          <t>TC-09-03, TC-09-05, TC-10-16</t>
        </is>
      </c>
    </row>
    <row r="44">
      <c r="A44" s="7" t="inlineStr">
        <is>
          <t>AC-09.3</t>
        </is>
      </c>
      <c r="B44" s="7" t="inlineStr">
        <is>
          <t>UC-09</t>
        </is>
      </c>
      <c r="C44" s="7" t="inlineStr">
        <is>
          <t>Điểm tiêu chí chung = tổng các mục Đảm bảo; hiển thị đúng và cập nhật ngay khi đổi lựa chọn.</t>
        </is>
      </c>
      <c r="D44" s="7" t="inlineStr">
        <is>
          <t>TC-09-04</t>
        </is>
      </c>
    </row>
    <row r="45">
      <c r="A45" s="7" t="inlineStr">
        <is>
          <t>AC-09.4</t>
        </is>
      </c>
      <c r="B45" s="7" t="inlineStr">
        <is>
          <t>UC-09</t>
        </is>
      </c>
      <c r="C45" s="7" t="inlineStr">
        <is>
          <t>Văn phòng thêm được phiên bản bảng mới áp dụng từ một tháng; không chọn được tháng đã có người tự chấm; mọi người trong cùng kỳ dùng cùng bảng.</t>
        </is>
      </c>
      <c r="D45" s="7" t="inlineStr">
        <is>
          <t>TC-09-06, TC-09-07</t>
        </is>
      </c>
    </row>
    <row r="46">
      <c r="A46" s="7" t="inlineStr">
        <is>
          <t>AC-09.5</t>
        </is>
      </c>
      <c r="B46" s="7" t="inlineStr">
        <is>
          <t>UC-09</t>
        </is>
      </c>
      <c r="C46" s="7" t="inlineStr">
        <is>
          <t>Kỳ trước phiên bản đầu tiên chấm một số 0–30 như cũ.</t>
        </is>
      </c>
      <c r="D46" s="7" t="inlineStr">
        <is>
          <t>TC-09-08</t>
        </is>
      </c>
    </row>
    <row r="47">
      <c r="A47" s="7" t="inlineStr">
        <is>
          <t>AC-10.1</t>
        </is>
      </c>
      <c r="B47" s="7" t="inlineStr">
        <is>
          <t>UC-10</t>
        </is>
      </c>
      <c r="C47" s="7" t="inlineStr">
        <is>
          <t>`A = Σ c·Q' / Σ c·P`, `B = Σ c·Q'·max(0, 1 − 0,25·R) / Σ c·P`, `C = Σ c·Q'·max(0, 1 − 0,25·L) / Σ c·P`, trong đó `Q' = min(Q, P)`.</t>
        </is>
      </c>
      <c r="D47" s="7" t="inlineStr">
        <is>
          <t>TC-10-01, TC-10-02, TC-10-03, TC-10-09</t>
        </is>
      </c>
    </row>
    <row r="48">
      <c r="A48" s="7" t="inlineStr">
        <is>
          <t>AC-10.2</t>
        </is>
      </c>
      <c r="B48" s="7" t="inlineStr">
        <is>
          <t>UC-10</t>
        </is>
      </c>
      <c r="C48" s="7" t="inlineStr">
        <is>
          <t>Người không giữ chức vụ lãnh đạo, quản lý: `KPI = (A + B + C) / 3`. Lãnh đạo, quản lý: `KPI = (A + B + C + d + đ + e) / 6`, mỗi tiêu chí lãnh đạo là 100% hoặc 50%.</t>
        </is>
      </c>
      <c r="D48" s="7" t="inlineStr">
        <is>
          <t>TC-10-01, TC-10-10</t>
        </is>
      </c>
    </row>
    <row r="49">
      <c r="A49" s="7" t="inlineStr">
        <is>
          <t>AC-10.3</t>
        </is>
      </c>
      <c r="B49" s="7" t="inlineStr">
        <is>
          <t>UC-10</t>
        </is>
      </c>
      <c r="C49" s="7" t="inlineStr">
        <is>
          <t>Điểm kết quả = KPI × 70; tổng điểm = điểm tiêu chí chung (tối đa 30) + điểm kết quả (tối đa 70).</t>
        </is>
      </c>
      <c r="D49" s="7" t="inlineStr">
        <is>
          <t>TC-10-01, TC-10-10</t>
        </is>
      </c>
    </row>
    <row r="50">
      <c r="A50" s="7" t="inlineStr">
        <is>
          <t>AC-10.4</t>
        </is>
      </c>
      <c r="B50" s="7" t="inlineStr">
        <is>
          <t>UC-10</t>
        </is>
      </c>
      <c r="C50" s="7" t="inlineStr">
        <is>
          <t>Xếp loại theo ngưỡng: ≥ 90 Xuất sắc; từ 70 đến dưới 90 Hoàn thành tốt; từ 50 đến dưới 70 Hoàn thành; dưới 50 Không hoàn thành.</t>
        </is>
      </c>
      <c r="D50" s="7" t="inlineStr">
        <is>
          <t>TC-10-01, TC-10-04, TC-10-05, TC-10-06, TC-10-07, TC-10-08</t>
        </is>
      </c>
    </row>
    <row r="51">
      <c r="A51" s="7" t="inlineStr">
        <is>
          <t>AC-10.5</t>
        </is>
      </c>
      <c r="B51" s="7" t="inlineStr">
        <is>
          <t>UC-10</t>
        </is>
      </c>
      <c r="C51" s="7" t="inlineStr">
        <is>
          <t>Không có chỉ tiêu nào (tổng giao bằng 0) thì điểm kết quả bằng 0, kể cả ba tiêu chí lãnh đạo.</t>
        </is>
      </c>
      <c r="D51" s="7" t="inlineStr">
        <is>
          <t>TC-10-11</t>
        </is>
      </c>
    </row>
    <row r="52">
      <c r="A52" s="7" t="inlineStr">
        <is>
          <t>AC-10.6</t>
        </is>
      </c>
      <c r="B52" s="7" t="inlineStr">
        <is>
          <t>UC-10</t>
        </is>
      </c>
      <c r="C52" s="7" t="inlineStr">
        <is>
          <t>Hiển thị cảnh báo khi A &lt; 100% (05-HD/TU mục 8.2) nhưng **không tự hạ xếp loại**.</t>
        </is>
      </c>
      <c r="D52" s="7" t="inlineStr">
        <is>
          <t>TC-10-12</t>
        </is>
      </c>
    </row>
    <row r="53">
      <c r="A53" s="7" t="inlineStr">
        <is>
          <t>AC-10.7</t>
        </is>
      </c>
      <c r="B53" s="7" t="inlineStr">
        <is>
          <t>UC-10</t>
        </is>
      </c>
      <c r="C53" s="7" t="inlineStr">
        <is>
          <t>Thiếu ba tiêu chí lãnh đạo (với lãnh đạo) hoặc thiếu mức chất lượng của dòng đã có kết quả thì không chuyển thẩm định được.</t>
        </is>
      </c>
      <c r="D53" s="7" t="inlineStr">
        <is>
          <t>TC-10-13, TC-10-14</t>
        </is>
      </c>
    </row>
    <row r="54">
      <c r="A54" s="7" t="inlineStr">
        <is>
          <t>AC-10.8</t>
        </is>
      </c>
      <c r="B54" s="7" t="inlineStr">
        <is>
          <t>UC-10</t>
        </is>
      </c>
      <c r="C54" s="7" t="inlineStr">
        <is>
          <t>Người thẩm định không phải cấp trên theo cây vị trí, hoặc là chính người được đánh giá, bị từ chối.</t>
        </is>
      </c>
      <c r="D54" s="7" t="inlineStr">
        <is>
          <t>TC-10-15</t>
        </is>
      </c>
    </row>
    <row r="55">
      <c r="A55" s="7" t="inlineStr">
        <is>
          <t>AC-11.1</t>
        </is>
      </c>
      <c r="B55" s="7" t="inlineStr">
        <is>
          <t>UC-11</t>
        </is>
      </c>
      <c r="C55" s="7" t="inlineStr">
        <is>
          <t>Luồng trạng thái `PLANNED → SELF_SUBMITTED → REVIEWED → APPROVED`; có nhánh trả lại kèm lý do bắt buộc.</t>
        </is>
      </c>
      <c r="D55" s="7" t="inlineStr">
        <is>
          <t>TC-11-01, TC-11-02</t>
        </is>
      </c>
    </row>
    <row r="56">
      <c r="A56" s="7" t="inlineStr">
        <is>
          <t>AC-11.2</t>
        </is>
      </c>
      <c r="B56" s="7" t="inlineStr">
        <is>
          <t>UC-11</t>
        </is>
      </c>
      <c r="C56" s="7" t="inlineStr">
        <is>
          <t>Người thẩm định và người phê duyệt phải là hai bước riêng; người chấm không tự phê duyệt kết quả của chính mình.</t>
        </is>
      </c>
      <c r="D56" s="7" t="inlineStr">
        <is>
          <t>TC-11-04</t>
        </is>
      </c>
    </row>
    <row r="57">
      <c r="A57" s="7" t="inlineStr">
        <is>
          <t>AC-11.3</t>
        </is>
      </c>
      <c r="B57" s="7" t="inlineStr">
        <is>
          <t>UC-11</t>
        </is>
      </c>
      <c r="C57" s="7" t="inlineStr">
        <is>
          <t>Hồ sơ `APPROVED` không sửa được qua giao diện, API, cũng không qua câu lệnh SQL trực tiếp (trigger CSDL chặn).</t>
        </is>
      </c>
      <c r="D57" s="7" t="inlineStr">
        <is>
          <t>TC-11-05, TC-11-06</t>
        </is>
      </c>
    </row>
    <row r="58">
      <c r="A58" s="7" t="inlineStr">
        <is>
          <t>AC-11.4</t>
        </is>
      </c>
      <c r="B58" s="7" t="inlineStr">
        <is>
          <t>UC-11</t>
        </is>
      </c>
      <c r="C58" s="7" t="inlineStr">
        <is>
          <t>Điểm chưa phê duyệt hiển thị là tham khảo; số liệu thống kê chính thức chỉ tính hồ sơ đã phê duyệt.</t>
        </is>
      </c>
      <c r="D58" s="7" t="inlineStr">
        <is>
          <t>TC-11-07</t>
        </is>
      </c>
    </row>
    <row r="59">
      <c r="A59" s="7" t="inlineStr">
        <is>
          <t>AC-11.5</t>
        </is>
      </c>
      <c r="B59" s="7" t="inlineStr">
        <is>
          <t>UC-11</t>
        </is>
      </c>
      <c r="C59" s="7" t="inlineStr">
        <is>
          <t>Trả lại hồ sơ xóa phần của người thẩm định và giữ phần tự chấm.</t>
        </is>
      </c>
      <c r="D59" s="7" t="inlineStr">
        <is>
          <t>TC-11-03</t>
        </is>
      </c>
    </row>
    <row r="60">
      <c r="A60" s="7" t="inlineStr">
        <is>
          <t>AC-12.1</t>
        </is>
      </c>
      <c r="B60" s="7" t="inlineStr">
        <is>
          <t>UC-12</t>
        </is>
      </c>
      <c r="C60" s="7" t="inlineStr">
        <is>
          <t>Hủy thành công đưa hồ sơ về `PLANNED`, xóa tự chấm và thẩm định hiện hành, giữ lịch sử.</t>
        </is>
      </c>
      <c r="D60" s="7" t="inlineStr">
        <is>
          <t>TC-12-01, TC-12-02, TC-12-08, TC-12-10</t>
        </is>
      </c>
    </row>
    <row r="61">
      <c r="A61" s="7" t="inlineStr">
        <is>
          <t>AC-12.2</t>
        </is>
      </c>
      <c r="B61" s="7" t="inlineStr">
        <is>
          <t>UC-12</t>
        </is>
      </c>
      <c r="C61" s="7" t="inlineStr">
        <is>
          <t>Lịch sử hủy ghi thời điểm, người hủy, lý do, căn cứ, điểm và xếp loại đã hủy; xem được trên hồ sơ và không sửa, xóa được.</t>
        </is>
      </c>
      <c r="D61" s="7" t="inlineStr">
        <is>
          <t>TC-12-01, TC-12-03</t>
        </is>
      </c>
    </row>
    <row r="62">
      <c r="A62" s="7" t="inlineStr">
        <is>
          <t>AC-12.3</t>
        </is>
      </c>
      <c r="B62" s="7" t="inlineStr">
        <is>
          <t>UC-12</t>
        </is>
      </c>
      <c r="C62" s="7" t="inlineStr">
        <is>
          <t>Chỉ người phê duyệt hồ sơ hoặc cấp trên (kể cả Trưởng ban) hủy được; cấp ngang, cấp dưới, quản trị bị từ chối.</t>
        </is>
      </c>
      <c r="D62" s="7" t="inlineStr">
        <is>
          <t>TC-12-04, TC-12-05</t>
        </is>
      </c>
    </row>
    <row r="63">
      <c r="A63" s="7" t="inlineStr">
        <is>
          <t>AC-12.4</t>
        </is>
      </c>
      <c r="B63" s="7" t="inlineStr">
        <is>
          <t>UC-12</t>
        </is>
      </c>
      <c r="C63" s="7" t="inlineStr">
        <is>
          <t>Kỳ không còn mở thì không hủy được; hồ sơ tháng không hủy được khi hồ sơ năm của cùng người đã phê duyệt.</t>
        </is>
      </c>
      <c r="D63" s="7" t="inlineStr">
        <is>
          <t>TC-12-06, TC-12-07</t>
        </is>
      </c>
    </row>
    <row r="64">
      <c r="A64" s="7" t="inlineStr">
        <is>
          <t>AC-12.5</t>
        </is>
      </c>
      <c r="B64" s="7" t="inlineStr">
        <is>
          <t>UC-12</t>
        </is>
      </c>
      <c r="C64" s="7" t="inlineStr">
        <is>
          <t>Con đường duy nhất để một hồ sơ đã duyệt về `PLANNED` là hủy có bản ghi lịch sử; cố đổi trạng thái bằng SQL không có bản ghi hủy bị trigger từ chối.</t>
        </is>
      </c>
      <c r="D64" s="7" t="inlineStr">
        <is>
          <t>TC-12-09</t>
        </is>
      </c>
    </row>
    <row r="65">
      <c r="A65" s="7" t="inlineStr">
        <is>
          <t>AC-12.6</t>
        </is>
      </c>
      <c r="B65" s="7" t="inlineStr">
        <is>
          <t>UC-12</t>
        </is>
      </c>
      <c r="C65" s="7" t="inlineStr">
        <is>
          <t>Việc hủy có nhật ký (`evaluation.revoke`, phân loại thay đổi trạng thái) và có thông báo.</t>
        </is>
      </c>
      <c r="D65" s="7" t="inlineStr">
        <is>
          <t>TC-12-01</t>
        </is>
      </c>
    </row>
    <row r="66">
      <c r="A66" s="7" t="inlineStr">
        <is>
          <t>AC-13.1</t>
        </is>
      </c>
      <c r="B66" s="7" t="inlineStr">
        <is>
          <t>UC-13</t>
        </is>
      </c>
      <c r="C66" s="7" t="inlineStr">
        <is>
          <t>Sự kiện kỷ luật bắt buộc nêu hình thức, hệ thống (đảng, hành chính) và loại vi phạm; thiếu thì CSDL và ứng dụng từ chối.</t>
        </is>
      </c>
      <c r="D66" s="7" t="inlineStr">
        <is>
          <t>TC-13-01, TC-13-02, TC-13-13</t>
        </is>
      </c>
    </row>
    <row r="67">
      <c r="A67" s="7" t="inlineStr">
        <is>
          <t>AC-13.2</t>
        </is>
      </c>
      <c r="B67" s="7" t="inlineStr">
        <is>
          <t>UC-13</t>
        </is>
      </c>
      <c r="C67" s="7" t="inlineStr">
        <is>
          <t>Kỳ tháng, quý có sự kiện hiệu lực trong kỳ: các mục tiêu chí chung liên quan bị khóa ở "Không đảm bảo" và không chấm Đảm bảo được **[GĐ bảng gắn mục]**.</t>
        </is>
      </c>
      <c r="D67" s="7" t="inlineStr">
        <is>
          <t>TC-13-03</t>
        </is>
      </c>
    </row>
    <row r="68">
      <c r="A68" s="7" t="inlineStr">
        <is>
          <t>AC-13.3</t>
        </is>
      </c>
      <c r="B68" s="7" t="inlineStr">
        <is>
          <t>UC-13</t>
        </is>
      </c>
      <c r="C68" s="7" t="inlineStr">
        <is>
          <t>Kỳ năm: kỷ luật vi phạm công vụ hoặc suy thoái, tín nhiệm thấp, tham nhũng trong phạm vi, đơn vị phụ trách dưới 70% kế hoạch (lãnh đạo), trên 50% việc không hoàn thành (người khác) → xếp Không hoàn thành nhiệm vụ **không phụ thuộc điểm**.</t>
        </is>
      </c>
      <c r="D68" s="7" t="inlineStr">
        <is>
          <t>TC-13-04, TC-13-05, TC-13-06, TC-13-07</t>
        </is>
      </c>
    </row>
    <row r="69">
      <c r="A69" s="7" t="inlineStr">
        <is>
          <t>AC-13.4</t>
        </is>
      </c>
      <c r="B69" s="7" t="inlineStr">
        <is>
          <t>UC-13</t>
        </is>
      </c>
      <c r="C69" s="7" t="inlineStr">
        <is>
          <t>Người phê duyệt chọn một trong năm ngoại lệ kèm căn cứ bắt buộc thì hồ sơ trở về mức theo điểm, lưu ngoại lệ và có nhật ký; không chọn thì giữ Không hoàn thành.</t>
        </is>
      </c>
      <c r="D69" s="7" t="inlineStr">
        <is>
          <t>TC-13-08, TC-13-09, TC-13-10</t>
        </is>
      </c>
    </row>
    <row r="70">
      <c r="A70" s="7" t="inlineStr">
        <is>
          <t>AC-13.5</t>
        </is>
      </c>
      <c r="B70" s="7" t="inlineStr">
        <is>
          <t>UC-13</t>
        </is>
      </c>
      <c r="C70" s="7" t="inlineStr">
        <is>
          <t>Hồ sơ không có điều kiện thì không cho chọn ngoại lệ.</t>
        </is>
      </c>
      <c r="D70" s="7" t="inlineStr">
        <is>
          <t>TC-13-11</t>
        </is>
      </c>
    </row>
    <row r="71">
      <c r="A71" s="7" t="inlineStr">
        <is>
          <t>AC-13.6</t>
        </is>
      </c>
      <c r="B71" s="7" t="inlineStr">
        <is>
          <t>UC-13</t>
        </is>
      </c>
      <c r="C71" s="7" t="inlineStr">
        <is>
          <t>Chỉ chính cán bộ, cấp trên theo cây vị trí và người có `evaluation:read-all` xem được sự kiện của một người.</t>
        </is>
      </c>
      <c r="D71" s="7" t="inlineStr">
        <is>
          <t>TC-13-12</t>
        </is>
      </c>
    </row>
    <row r="72">
      <c r="A72" s="7" t="inlineStr">
        <is>
          <t>AC-14.1</t>
        </is>
      </c>
      <c r="B72" s="7" t="inlineStr">
        <is>
          <t>UC-14</t>
        </is>
      </c>
      <c r="C72" s="7" t="inlineStr">
        <is>
          <t>Nhóm = cùng kỳ, cùng đơn vị, cùng loại vị trí (lãnh đạo, hỗ trợ phục vụ, còn lại) **[GĐ: nhóm tính hạn mức xuất sắc]**.</t>
        </is>
      </c>
      <c r="D72" s="7" t="inlineStr">
        <is>
          <t>TC-14-01, TC-14-06</t>
        </is>
      </c>
    </row>
    <row r="73">
      <c r="A73" s="7" t="inlineStr">
        <is>
          <t>AC-14.2</t>
        </is>
      </c>
      <c r="B73" s="7" t="inlineStr">
        <is>
          <t>UC-14</t>
        </is>
      </c>
      <c r="C73" s="7" t="inlineStr">
        <is>
          <t>Số xuất sắc tối đa k là số lớn nhất thỏa k ≤ 20% × (số hoàn thành tốt + số xuất sắc − k); mức 25% hiển thị riêng làm tham khảo.</t>
        </is>
      </c>
      <c r="D73" s="7" t="inlineStr">
        <is>
          <t>TC-14-01, TC-14-05</t>
        </is>
      </c>
    </row>
    <row r="74">
      <c r="A74" s="7" t="inlineStr">
        <is>
          <t>AC-14.3</t>
        </is>
      </c>
      <c r="B74" s="7" t="inlineStr">
        <is>
          <t>UC-14</t>
        </is>
      </c>
      <c r="C74" s="7" t="inlineStr">
        <is>
          <t>Nhóm từ 5 người trở xuống được chọn ít nhất 1 người xuất sắc.</t>
        </is>
      </c>
      <c r="D74" s="7" t="inlineStr">
        <is>
          <t>TC-14-03</t>
        </is>
      </c>
    </row>
    <row r="75">
      <c r="A75" s="7" t="inlineStr">
        <is>
          <t>AC-14.4</t>
        </is>
      </c>
      <c r="B75" s="7" t="inlineStr">
        <is>
          <t>UC-14</t>
        </is>
      </c>
      <c r="C75" s="7" t="inlineStr">
        <is>
          <t>Xếp thứ tự từ điểm cao xuống thấp; người ngoài hạn mức được đánh dấu; bằng điểm ở ranh giới thì đánh dấu "bằng điểm" để cấp có thẩm quyền xem xét.</t>
        </is>
      </c>
      <c r="D75" s="7" t="inlineStr">
        <is>
          <t>TC-14-01, TC-14-04</t>
        </is>
      </c>
    </row>
    <row r="76">
      <c r="A76" s="7" t="inlineStr">
        <is>
          <t>AC-14.5</t>
        </is>
      </c>
      <c r="B76" s="7" t="inlineStr">
        <is>
          <t>UC-14</t>
        </is>
      </c>
      <c r="C76" s="7" t="inlineStr">
        <is>
          <t>Hệ thống **chỉ gợi ý, không tự hạ xếp loại**; người phê duyệt vẫn phê duyệt được hồ sơ ngoài hạn mức.</t>
        </is>
      </c>
      <c r="D76" s="7" t="inlineStr">
        <is>
          <t>TC-14-02</t>
        </is>
      </c>
    </row>
    <row r="77">
      <c r="A77" s="7" t="inlineStr">
        <is>
          <t>AC-14.6</t>
        </is>
      </c>
      <c r="B77" s="7" t="inlineStr">
        <is>
          <t>UC-14</t>
        </is>
      </c>
      <c r="C77" s="7" t="inlineStr">
        <is>
          <t>Hồ sơ Xuất sắc ở trạng thái chờ phê duyệt, nằm ngoài hạn mức, có cảnh báo cho người phê duyệt.</t>
        </is>
      </c>
      <c r="D77" s="7" t="inlineStr">
        <is>
          <t>TC-14-07</t>
        </is>
      </c>
    </row>
    <row r="78">
      <c r="A78" s="7" t="inlineStr">
        <is>
          <t>AC-15.1</t>
        </is>
      </c>
      <c r="B78" s="7" t="inlineStr">
        <is>
          <t>UC-15</t>
        </is>
      </c>
      <c r="C78" s="7" t="inlineStr">
        <is>
          <t>Điểm năm = trung bình các tháng đã phê duyệt (không tính tháng nghỉ vào mẫu số).</t>
        </is>
      </c>
      <c r="D78" s="7" t="inlineStr">
        <is>
          <t>TC-15-01</t>
        </is>
      </c>
    </row>
    <row r="79">
      <c r="A79" s="7" t="inlineStr">
        <is>
          <t>AC-15.2</t>
        </is>
      </c>
      <c r="B79" s="7" t="inlineStr">
        <is>
          <t>UC-15</t>
        </is>
      </c>
      <c r="C79" s="7" t="inlineStr">
        <is>
          <t>Đủ điều kiện xếp loại năm khi `số tháng đã duyệt + số tháng nghỉ ≥ 6` và có ít nhất 1 tháng đã duyệt.</t>
        </is>
      </c>
      <c r="D79" s="7" t="inlineStr">
        <is>
          <t>TC-15-02, TC-15-03</t>
        </is>
      </c>
    </row>
    <row r="80">
      <c r="A80" s="7" t="inlineStr">
        <is>
          <t>AC-15.3</t>
        </is>
      </c>
      <c r="B80" s="7" t="inlineStr">
        <is>
          <t>UC-15</t>
        </is>
      </c>
      <c r="C80" s="7" t="inlineStr">
        <is>
          <t>Không ghi nhận nghỉ cho tháng đã có hồ sơ phê duyệt (409); không sửa nghỉ khi hồ sơ năm đã duyệt.</t>
        </is>
      </c>
      <c r="D80" s="7" t="inlineStr">
        <is>
          <t>TC-15-04, TC-15-08</t>
        </is>
      </c>
    </row>
    <row r="81">
      <c r="A81" s="7" t="inlineStr">
        <is>
          <t>AC-15.4</t>
        </is>
      </c>
      <c r="B81" s="7" t="inlineStr">
        <is>
          <t>UC-15</t>
        </is>
      </c>
      <c r="C81" s="7" t="inlineStr">
        <is>
          <t>Chỉ đóng "không xếp loại" khi thật sự không đủ điều kiện; hồ sơ đóng có tổng điểm và xếp loại rỗng, kèm lý do, và khóa như hồ sơ đã duyệt.</t>
        </is>
      </c>
      <c r="D81" s="7" t="inlineStr">
        <is>
          <t>TC-15-05, TC-15-06</t>
        </is>
      </c>
    </row>
    <row r="82">
      <c r="A82" s="7" t="inlineStr">
        <is>
          <t>AC-15.5</t>
        </is>
      </c>
      <c r="B82" s="7" t="inlineStr">
        <is>
          <t>UC-15</t>
        </is>
      </c>
      <c r="C82" s="7" t="inlineStr">
        <is>
          <t>Bảng quý và 6 tháng chỉ để đối chiếu, nêu số tháng có điểm, tháng thiếu, tháng nghỉ, đánh dấu "chưa đủ tháng".</t>
        </is>
      </c>
      <c r="D82" s="7" t="inlineStr">
        <is>
          <t>TC-15-09</t>
        </is>
      </c>
    </row>
    <row r="83">
      <c r="A83" s="7" t="inlineStr">
        <is>
          <t>AC-15.6</t>
        </is>
      </c>
      <c r="B83" s="7" t="inlineStr">
        <is>
          <t>UC-15</t>
        </is>
      </c>
      <c r="C83" s="7" t="inlineStr">
        <is>
          <t>Hồ sơ không xếp loại không được tính vào số liệu điểm và xếp loại ở báo cáo.</t>
        </is>
      </c>
      <c r="D83" s="7" t="inlineStr">
        <is>
          <t>TC-15-07</t>
        </is>
      </c>
    </row>
    <row r="84">
      <c r="A84" s="7" t="inlineStr">
        <is>
          <t>AC-16.1</t>
        </is>
      </c>
      <c r="B84" s="7" t="inlineStr">
        <is>
          <t>UC-16</t>
        </is>
      </c>
      <c r="C84" s="7" t="inlineStr">
        <is>
          <t>Mỗi phòng có hồ sơ tập thể theo kỳ năm; điểm gồm 30 điểm chung (6 tiêu chí C1–C6) và 70 điểm kết quả (phần chung 30: KH 15, CS 5, DN 10; phần đặc thù 40 theo chức năng phòng); tổng mỗi nhóm đang bật phải đúng 30 hoặc 70 **[GĐ: trục và tỷ trọng tập thể]**.</t>
        </is>
      </c>
      <c r="D84" s="7" t="inlineStr">
        <is>
          <t>TC-16-01, TC-16-02, TC-16-06</t>
        </is>
      </c>
    </row>
    <row r="85">
      <c r="A85" s="7" t="inlineStr">
        <is>
          <t>AC-16.2</t>
        </is>
      </c>
      <c r="B85" s="7" t="inlineStr">
        <is>
          <t>UC-16</t>
        </is>
      </c>
      <c r="C85" s="7" t="inlineStr">
        <is>
          <t>Đánh giá phòng trước, đánh giá Ban sau (cấp dưới trước cấp trên).</t>
        </is>
      </c>
      <c r="D85" s="7" t="inlineStr">
        <is>
          <t>TC-16-03</t>
        </is>
      </c>
    </row>
    <row r="86">
      <c r="A86" s="7" t="inlineStr">
        <is>
          <t>AC-16.3</t>
        </is>
      </c>
      <c r="B86" s="7" t="inlineStr">
        <is>
          <t>UC-16</t>
        </is>
      </c>
      <c r="C86" s="7" t="inlineStr">
        <is>
          <t>Hồ sơ của Ban do `thuongvu` thẩm định, phê duyệt; người của Ban không tự thẩm định hồ sơ của Ban.</t>
        </is>
      </c>
      <c r="D86" s="7" t="inlineStr">
        <is>
          <t>TC-16-04</t>
        </is>
      </c>
    </row>
    <row r="87">
      <c r="A87" s="7" t="inlineStr">
        <is>
          <t>AC-16.4</t>
        </is>
      </c>
      <c r="B87" s="7" t="inlineStr">
        <is>
          <t>UC-16</t>
        </is>
      </c>
      <c r="C87" s="7" t="inlineStr">
        <is>
          <t>Báo cáo tập thể thống kê theo trục, theo phòng.</t>
        </is>
      </c>
      <c r="D87" s="7" t="inlineStr">
        <is>
          <t>TC-16-05</t>
        </is>
      </c>
    </row>
    <row r="88">
      <c r="A88" s="7" t="inlineStr">
        <is>
          <t>AC-17.1</t>
        </is>
      </c>
      <c r="B88" s="7" t="inlineStr">
        <is>
          <t>UC-17</t>
        </is>
      </c>
      <c r="C88" s="7" t="inlineStr">
        <is>
          <t>Khiếu nại ở trạng thái `RECEIVED` hoặc `VERIFYING` chặn **phê duyệt** hồ sơ tập thể cùng kỳ (409); thẩm định không bị chặn nhưng hiện cảnh báo.</t>
        </is>
      </c>
      <c r="D88" s="7" t="inlineStr">
        <is>
          <t>TC-17-01</t>
        </is>
      </c>
    </row>
    <row r="89">
      <c r="A89" s="7" t="inlineStr">
        <is>
          <t>AC-17.2</t>
        </is>
      </c>
      <c r="B89" s="7" t="inlineStr">
        <is>
          <t>UC-17</t>
        </is>
      </c>
      <c r="C89" s="7" t="inlineStr">
        <is>
          <t>Kết luận "đúng" **không tự hạ** xếp loại; người công nhận quyết định và nêu lý do.</t>
        </is>
      </c>
      <c r="D89" s="7" t="inlineStr">
        <is>
          <t>TC-17-03</t>
        </is>
      </c>
    </row>
    <row r="90">
      <c r="A90" s="7" t="inlineStr">
        <is>
          <t>AC-17.3</t>
        </is>
      </c>
      <c r="B90" s="7" t="inlineStr">
        <is>
          <t>UC-17</t>
        </is>
      </c>
      <c r="C90" s="7" t="inlineStr">
        <is>
          <t>Chỉ người công nhận chỉ đạo xác minh và kết luận; nội dung khiếu nại chỉ người liên quan xem được.</t>
        </is>
      </c>
      <c r="D90" s="7" t="inlineStr">
        <is>
          <t>TC-17-02, TC-17-04, TC-17-05</t>
        </is>
      </c>
    </row>
    <row r="91">
      <c r="A91" s="7" t="inlineStr">
        <is>
          <t>AC-17.4</t>
        </is>
      </c>
      <c r="B91" s="7" t="inlineStr">
        <is>
          <t>UC-17</t>
        </is>
      </c>
      <c r="C91" s="7" t="inlineStr">
        <is>
          <t>Hạn mặc định 15/12; gia hạn không quá 15/01 năm sau và phải có lý do; còn 14 ngày trở xuống hiện nhắc, quá hạn hiện cảnh báo, hệ thống không khóa cứng.</t>
        </is>
      </c>
      <c r="D91" s="7" t="inlineStr">
        <is>
          <t>TC-17-06, TC-17-07</t>
        </is>
      </c>
    </row>
    <row r="92">
      <c r="A92" s="7" t="inlineStr">
        <is>
          <t>AC-17.5</t>
        </is>
      </c>
      <c r="B92" s="7" t="inlineStr">
        <is>
          <t>UC-17</t>
        </is>
      </c>
      <c r="C92" s="7" t="inlineStr">
        <is>
          <t>Nút "Nhắc việc" gửi thông báo cho người đang giữ hồ sơ năm chưa xong.</t>
        </is>
      </c>
      <c r="D92" s="7" t="inlineStr">
        <is>
          <t>TC-17-08</t>
        </is>
      </c>
    </row>
    <row r="93">
      <c r="A93" s="7" t="inlineStr">
        <is>
          <t>AC-18.1</t>
        </is>
      </c>
      <c r="B93" s="7" t="inlineStr">
        <is>
          <t>UC-18</t>
        </is>
      </c>
      <c r="C93" s="7" t="inlineStr">
        <is>
          <t>Tổng các thành phần giải thích **đúng bằng** điểm kết quả của hồ sơ.</t>
        </is>
      </c>
      <c r="D93" s="7" t="inlineStr">
        <is>
          <t>TC-18-01</t>
        </is>
      </c>
    </row>
    <row r="94">
      <c r="A94" s="7" t="inlineStr">
        <is>
          <t>AC-18.2</t>
        </is>
      </c>
      <c r="B94" s="7" t="inlineStr">
        <is>
          <t>UC-18</t>
        </is>
      </c>
      <c r="C94" s="7" t="inlineStr">
        <is>
          <t>Mô phỏng chỉ tính, **không ghi** vào hồ sơ; tải lại trang thì số liệu thật không đổi.</t>
        </is>
      </c>
      <c r="D94" s="7" t="inlineStr">
        <is>
          <t>TC-18-02</t>
        </is>
      </c>
    </row>
    <row r="95">
      <c r="A95" s="7" t="inlineStr">
        <is>
          <t>AC-18.3</t>
        </is>
      </c>
      <c r="B95" s="7" t="inlineStr">
        <is>
          <t>UC-18</t>
        </is>
      </c>
      <c r="C95" s="7" t="inlineStr">
        <is>
          <t>Đổi số lượng, số lần chậm, chưa đạt, điểm chung trong mô phỏng cho kết quả khớp với công thức ở AC-10.1 đến AC-10.4.</t>
        </is>
      </c>
      <c r="D95" s="7" t="inlineStr">
        <is>
          <t>TC-18-03, TC-18-04</t>
        </is>
      </c>
    </row>
    <row r="96">
      <c r="A96" s="7" t="inlineStr">
        <is>
          <t>AC-19.1</t>
        </is>
      </c>
      <c r="B96" s="7" t="inlineStr">
        <is>
          <t>UC-19</t>
        </is>
      </c>
      <c r="C96" s="7" t="inlineStr">
        <is>
          <t>Số liệu chỉ trong phạm vi người xem (chuyên viên không thấy số liệu của người khác).</t>
        </is>
      </c>
      <c r="D96" s="7" t="inlineStr">
        <is>
          <t>TC-19-01, TC-19-02</t>
        </is>
      </c>
    </row>
    <row r="97">
      <c r="A97" s="7" t="inlineStr">
        <is>
          <t>AC-19.2</t>
        </is>
      </c>
      <c r="B97" s="7" t="inlineStr">
        <is>
          <t>UC-19</t>
        </is>
      </c>
      <c r="C97" s="7" t="inlineStr">
        <is>
          <t>Khối "Cần xử lý" liệt kê đúng các hồ sơ, việc đang chờ chính người đó.</t>
        </is>
      </c>
      <c r="D97" s="7" t="inlineStr">
        <is>
          <t>TC-19-03</t>
        </is>
      </c>
    </row>
    <row r="98">
      <c r="A98" s="7" t="inlineStr">
        <is>
          <t>AC-19.3</t>
        </is>
      </c>
      <c r="B98" s="7" t="inlineStr">
        <is>
          <t>UC-19</t>
        </is>
      </c>
      <c r="C98" s="7" t="inlineStr">
        <is>
          <t>Cảnh báo sớm nêu việc quá hạn, sắp đến hạn mà làm chưa được nửa, hoặc chậm so với tiến độ thời gian, kèm người cần nhắc.</t>
        </is>
      </c>
      <c r="D98" s="7" t="inlineStr">
        <is>
          <t>TC-19-04</t>
        </is>
      </c>
    </row>
    <row r="99">
      <c r="A99" s="7" t="inlineStr">
        <is>
          <t>AC-19.4</t>
        </is>
      </c>
      <c r="B99" s="7" t="inlineStr">
        <is>
          <t>UC-19</t>
        </is>
      </c>
      <c r="C99" s="7" t="inlineStr">
        <is>
          <t>Số liệu trên Tổng quan khớp với danh sách ở các trang chi tiết (cùng kỳ, cùng phạm vi).</t>
        </is>
      </c>
      <c r="D99" s="7" t="inlineStr">
        <is>
          <t>TC-19-05</t>
        </is>
      </c>
    </row>
    <row r="100">
      <c r="A100" s="7" t="inlineStr">
        <is>
          <t>AC-20.1</t>
        </is>
      </c>
      <c r="B100" s="7" t="inlineStr">
        <is>
          <t>UC-20</t>
        </is>
      </c>
      <c r="C100" s="7" t="inlineStr">
        <is>
          <t>Lọc và tra cứu theo kỳ, đơn vị, người, trạng thái cho kết quả đúng phạm vi quyền.</t>
        </is>
      </c>
      <c r="D100" s="7" t="inlineStr">
        <is>
          <t>TC-20-01, TC-20-07</t>
        </is>
      </c>
    </row>
    <row r="101">
      <c r="A101" s="7" t="inlineStr">
        <is>
          <t>AC-20.2</t>
        </is>
      </c>
      <c r="B101" s="7" t="inlineStr">
        <is>
          <t>UC-20</t>
        </is>
      </c>
      <c r="C101" s="7" t="inlineStr">
        <is>
          <t>Tệp Excel, PDF mở được, tiêu đề cột đúng, số dòng khớp với màn hình, tiếng Việt không lỗi dấu.</t>
        </is>
      </c>
      <c r="D101" s="7" t="inlineStr">
        <is>
          <t>TC-20-02, TC-20-03</t>
        </is>
      </c>
    </row>
    <row r="102">
      <c r="A102" s="7" t="inlineStr">
        <is>
          <t>AC-20.3</t>
        </is>
      </c>
      <c r="B102" s="7" t="inlineStr">
        <is>
          <t>UC-20</t>
        </is>
      </c>
      <c r="C102" s="7" t="inlineStr">
        <is>
          <t>Mỗi lần xuất ghi nhật ký (ai, khi nào, xuất gì).</t>
        </is>
      </c>
      <c r="D102" s="7" t="inlineStr">
        <is>
          <t>TC-20-04</t>
        </is>
      </c>
    </row>
    <row r="103">
      <c r="A103" s="7" t="inlineStr">
        <is>
          <t>AC-20.4</t>
        </is>
      </c>
      <c r="B103" s="7" t="inlineStr">
        <is>
          <t>UC-20</t>
        </is>
      </c>
      <c r="C103" s="7" t="inlineStr">
        <is>
          <t>Chuyên viên (không có `report:export`) không thấy nút xuất và gọi API xuất bị từ chối.</t>
        </is>
      </c>
      <c r="D103" s="7" t="inlineStr">
        <is>
          <t>TC-20-05</t>
        </is>
      </c>
    </row>
    <row r="104">
      <c r="A104" s="7" t="inlineStr">
        <is>
          <t>AC-20.5</t>
        </is>
      </c>
      <c r="B104" s="7" t="inlineStr">
        <is>
          <t>UC-20</t>
        </is>
      </c>
      <c r="C104" s="7" t="inlineStr">
        <is>
          <t>Thống kê việc: theo trạng thái, tỷ lệ chậm, tỷ lệ chưa đạt, theo đơn vị.</t>
        </is>
      </c>
      <c r="D104" s="7" t="inlineStr">
        <is>
          <t>TC-20-06</t>
        </is>
      </c>
    </row>
    <row r="105">
      <c r="A105" s="7" t="inlineStr">
        <is>
          <t>AC-21.1</t>
        </is>
      </c>
      <c r="B105" s="7" t="inlineStr">
        <is>
          <t>UC-21</t>
        </is>
      </c>
      <c r="C105" s="7" t="inlineStr">
        <is>
          <t>Tệp Word tải về mở được, số liệu điền khớp hệ thống tại thời điểm tạo.</t>
        </is>
      </c>
      <c r="D105" s="7" t="inlineStr">
        <is>
          <t>TC-21-01, TC-21-02, TC-21-04</t>
        </is>
      </c>
    </row>
    <row r="106">
      <c r="A106" s="7" t="inlineStr">
        <is>
          <t>AC-21.2</t>
        </is>
      </c>
      <c r="B106" s="7" t="inlineStr">
        <is>
          <t>UC-21</t>
        </is>
      </c>
      <c r="C106" s="7" t="inlineStr">
        <is>
          <t>Dự thảo được đánh dấu là tham khảo; người quyết định chịu trách nhiệm nội dung cuối.</t>
        </is>
      </c>
      <c r="D106" s="7" t="inlineStr">
        <is>
          <t>TC-21-01</t>
        </is>
      </c>
    </row>
    <row r="107">
      <c r="A107" s="7" t="inlineStr">
        <is>
          <t>AC-21.3</t>
        </is>
      </c>
      <c r="B107" s="7" t="inlineStr">
        <is>
          <t>UC-21</t>
        </is>
      </c>
      <c r="C107" s="7" t="inlineStr">
        <is>
          <t>Người không có `report:draft` không tạo được dự thảo.</t>
        </is>
      </c>
      <c r="D107" s="7" t="inlineStr">
        <is>
          <t>TC-21-03</t>
        </is>
      </c>
    </row>
    <row r="108">
      <c r="A108" s="7" t="inlineStr">
        <is>
          <t>AC-22.1</t>
        </is>
      </c>
      <c r="B108" s="7" t="inlineStr">
        <is>
          <t>UC-22</t>
        </is>
      </c>
      <c r="C108" s="7" t="inlineStr">
        <is>
          <t>Mọi thao tác ghi quan trọng (đăng nhập, thất bại, khóa, cấp quyền, tạo, sửa, phê duyệt, hủy, xuất) đều có bản ghi: ai, khi nào, làm gì, đối tượng, IP, mã yêu cầu.</t>
        </is>
      </c>
      <c r="D108" s="7" t="inlineStr">
        <is>
          <t>TC-22-01, TC-22-06</t>
        </is>
      </c>
    </row>
    <row r="109">
      <c r="A109" s="7" t="inlineStr">
        <is>
          <t>AC-22.2</t>
        </is>
      </c>
      <c r="B109" s="7" t="inlineStr">
        <is>
          <t>UC-22</t>
        </is>
      </c>
      <c r="C109" s="7" t="inlineStr">
        <is>
          <t>Bản ghi có giá trị trước và sau với thay đổi dữ liệu; mật khẩu, token, khóa không bao giờ xuất hiện.</t>
        </is>
      </c>
      <c r="D109" s="7" t="inlineStr">
        <is>
          <t>TC-22-02</t>
        </is>
      </c>
    </row>
    <row r="110">
      <c r="A110" s="7" t="inlineStr">
        <is>
          <t>AC-22.3</t>
        </is>
      </c>
      <c r="B110" s="7" t="inlineStr">
        <is>
          <t>UC-22</t>
        </is>
      </c>
      <c r="C110" s="7" t="inlineStr">
        <is>
          <t>Không sửa, xóa, cắt bớt bản ghi nhật ký được (trigger CSDL chặn `UPDATE`, `DELETE`, `TRUNCATE`).</t>
        </is>
      </c>
      <c r="D110" s="7" t="inlineStr">
        <is>
          <t>TC-22-03</t>
        </is>
      </c>
    </row>
    <row r="111">
      <c r="A111" s="7" t="inlineStr">
        <is>
          <t>AC-22.4</t>
        </is>
      </c>
      <c r="B111" s="7" t="inlineStr">
        <is>
          <t>UC-22</t>
        </is>
      </c>
      <c r="C111" s="7" t="inlineStr">
        <is>
          <t>Chuỗi băm phát hiện được bản ghi bị sửa hoặc chèn giữa chuỗi.</t>
        </is>
      </c>
      <c r="D111" s="7" t="inlineStr">
        <is>
          <t>TC-22-04</t>
        </is>
      </c>
    </row>
    <row r="112">
      <c r="A112" s="7" t="inlineStr">
        <is>
          <t>AC-22.5</t>
        </is>
      </c>
      <c r="B112" s="7" t="inlineStr">
        <is>
          <t>UC-22</t>
        </is>
      </c>
      <c r="C112" s="7" t="inlineStr">
        <is>
          <t>Chỉ `QUAN_TRI_DU_LIEU` đọc được nhật ký; `QUAN_TRI_HE_THONG` bị từ chối.</t>
        </is>
      </c>
      <c r="D112" s="7" t="inlineStr">
        <is>
          <t>TC-22-05</t>
        </is>
      </c>
    </row>
    <row r="113">
      <c r="A113" s="7" t="inlineStr">
        <is>
          <t>AC-22.6</t>
        </is>
      </c>
      <c r="B113" s="7" t="inlineStr">
        <is>
          <t>UC-22</t>
        </is>
      </c>
      <c r="C113" s="7" t="inlineStr">
        <is>
          <t>Mỗi bản ghi có `module` và `type` (tạo, sửa, xóa, đăng nhập, đổi trạng thái…) để lọc.</t>
        </is>
      </c>
      <c r="D113" s="7" t="inlineStr">
        <is>
          <t>TC-22-01</t>
        </is>
      </c>
    </row>
    <row r="114">
      <c r="A114" s="7" t="inlineStr">
        <is>
          <t>AC-23.1</t>
        </is>
      </c>
      <c r="B114" s="7" t="inlineStr">
        <is>
          <t>UC-23</t>
        </is>
      </c>
      <c r="C114" s="7" t="inlineStr">
        <is>
          <t>Mỗi quý tối đa một đợt; mỗi vai trò đang hiệu lực của tài khoản đang hoạt động thành một mục kèm ảnh chụp tên, cán bộ, đơn vị, chức danh; thay đổi cơ cấu sau đó không làm đổi ảnh chụp.</t>
        </is>
      </c>
      <c r="D114" s="7" t="inlineStr">
        <is>
          <t>TC-23-01, TC-23-07</t>
        </is>
      </c>
    </row>
    <row r="115">
      <c r="A115" s="7" t="inlineStr">
        <is>
          <t>AC-23.2</t>
        </is>
      </c>
      <c r="B115" s="7" t="inlineStr">
        <is>
          <t>UC-23</t>
        </is>
      </c>
      <c r="C115" s="7" t="inlineStr">
        <is>
          <t>Người xác nhận mỗi mục đúng quy tắc (người đứng đầu đơn vị; nếu chính họ là người đứng đầu thì cấp trên trực tiếp; mục không có lãnh đạo thì quản trị dữ liệu). Không ai tự duyệt quyền của mình; quản trị hệ thống không xác nhận.</t>
        </is>
      </c>
      <c r="D115" s="7" t="inlineStr">
        <is>
          <t>TC-23-02, TC-23-03, TC-23-05</t>
        </is>
      </c>
    </row>
    <row r="116">
      <c r="A116" s="7" t="inlineStr">
        <is>
          <t>AC-23.3</t>
        </is>
      </c>
      <c r="B116" s="7" t="inlineStr">
        <is>
          <t>UC-23</t>
        </is>
      </c>
      <c r="C116" s="7" t="inlineStr">
        <is>
          <t>Thu hồi bắt buộc có lý do và có hiệu lực ngay (nhật ký `role.revoke`); Giữ đổi được sang Thu hồi khi đợt còn mở, Thu hồi không đổi lại.</t>
        </is>
      </c>
      <c r="D116" s="7" t="inlineStr">
        <is>
          <t>TC-23-04</t>
        </is>
      </c>
    </row>
    <row r="117">
      <c r="A117" s="7" t="inlineStr">
        <is>
          <t>AC-23.4</t>
        </is>
      </c>
      <c r="B117" s="7" t="inlineStr">
        <is>
          <t>UC-23</t>
        </is>
      </c>
      <c r="C117" s="7" t="inlineStr">
        <is>
          <t>Đóng đợt giữ nguyên các mục chưa xác nhận và liệt kê trong báo cáo; đóng rồi không xác nhận thêm.</t>
        </is>
      </c>
      <c r="D117" s="7" t="inlineStr">
        <is>
          <t>TC-23-06</t>
        </is>
      </c>
    </row>
    <row r="118">
      <c r="A118" s="7" t="inlineStr">
        <is>
          <t>AC-24.1</t>
        </is>
      </c>
      <c r="B118" s="7" t="inlineStr">
        <is>
          <t>UC-24</t>
        </is>
      </c>
      <c r="C118" s="7" t="inlineStr">
        <is>
          <t>Tài liệu đăng được kèm tệp, xem được và tải về đúng nội dung.</t>
        </is>
      </c>
      <c r="D118" s="7" t="inlineStr">
        <is>
          <t>TC-24-01</t>
        </is>
      </c>
    </row>
    <row r="119">
      <c r="A119" s="7" t="inlineStr">
        <is>
          <t>AC-24.2</t>
        </is>
      </c>
      <c r="B119" s="7" t="inlineStr">
        <is>
          <t>UC-24</t>
        </is>
      </c>
      <c r="C119" s="7" t="inlineStr">
        <is>
          <t>Chỉ người có quyền quản lý tài liệu đăng, sửa, xóa; người khác chỉ đọc.</t>
        </is>
      </c>
      <c r="D119" s="7" t="inlineStr">
        <is>
          <t>TC-24-02</t>
        </is>
      </c>
    </row>
    <row r="120">
      <c r="A120" s="7" t="inlineStr">
        <is>
          <t>AC-24.3</t>
        </is>
      </c>
      <c r="B120" s="7" t="inlineStr">
        <is>
          <t>UC-24</t>
        </is>
      </c>
      <c r="C120" s="7" t="inlineStr">
        <is>
          <t>Thông báo phát sinh đúng sự kiện (giao việc, thẩm định, phê duyệt, hủy kết quả, miễn trừ…), đúng người nhận, đánh dấu đã đọc được.</t>
        </is>
      </c>
      <c r="D120" s="7" t="inlineStr">
        <is>
          <t>TC-24-03</t>
        </is>
      </c>
    </row>
    <row r="121">
      <c r="A121" s="7" t="inlineStr">
        <is>
          <t>AC-24.4</t>
        </is>
      </c>
      <c r="B121" s="7" t="inlineStr">
        <is>
          <t>UC-24</t>
        </is>
      </c>
      <c r="C121" s="7" t="inlineStr">
        <is>
          <t>Thông báo không chứa nội dung nhạy cảm (ví dụ nội dung khiếu nại).</t>
        </is>
      </c>
      <c r="D121" s="7" t="inlineStr">
        <is>
          <t>TC-24-04</t>
        </is>
      </c>
    </row>
    <row r="122">
      <c r="A122" s="7" t="inlineStr">
        <is>
          <t>AC-25.1</t>
        </is>
      </c>
      <c r="B122" s="7" t="inlineStr">
        <is>
          <t>UC-25</t>
        </is>
      </c>
      <c r="C122" s="7" t="inlineStr">
        <is>
          <t>Vòng đời đề án đi đúng trình tự soạn thảo, trình duyệt, phê duyệt, nghiệm thu; chỉ người có quyền chuyển bước.</t>
        </is>
      </c>
      <c r="D122" s="7" t="inlineStr">
        <is>
          <t>TC-25-01</t>
        </is>
      </c>
    </row>
    <row r="123">
      <c r="A123" s="7" t="inlineStr">
        <is>
          <t>AC-25.2</t>
        </is>
      </c>
      <c r="B123" s="7" t="inlineStr">
        <is>
          <t>UC-25</t>
        </is>
      </c>
      <c r="C123" s="7" t="inlineStr">
        <is>
          <t>Đề án chỉ nhóm và theo dõi việc, **không** đổi điểm KPI.</t>
        </is>
      </c>
      <c r="D123" s="7" t="inlineStr">
        <is>
          <t>TC-25-02</t>
        </is>
      </c>
    </row>
    <row r="124">
      <c r="A124" s="7" t="inlineStr">
        <is>
          <t>AC-25.3</t>
        </is>
      </c>
      <c r="B124" s="7" t="inlineStr">
        <is>
          <t>UC-25</t>
        </is>
      </c>
      <c r="C124" s="7" t="inlineStr">
        <is>
          <t>Tạo hoặc sửa lịch họp trùng lịch người được mời, hoặc trùng phòng họp, có cảnh báo.</t>
        </is>
      </c>
      <c r="D124" s="7" t="inlineStr">
        <is>
          <t>TC-25-03</t>
        </is>
      </c>
    </row>
    <row r="125">
      <c r="A125" s="7" t="inlineStr">
        <is>
          <t>AC-25.4</t>
        </is>
      </c>
      <c r="B125" s="7" t="inlineStr">
        <is>
          <t>UC-25</t>
        </is>
      </c>
      <c r="C125" s="7" t="inlineStr">
        <is>
          <t>Người được mời xác nhận hoặc từ chối; chủ trì kết thúc họp ghi kết luận và việc sau họp.</t>
        </is>
      </c>
      <c r="D125" s="7" t="inlineStr">
        <is>
          <t>TC-25-04</t>
        </is>
      </c>
    </row>
    <row r="126">
      <c r="A126" s="7" t="inlineStr">
        <is>
          <t>AC-26.1</t>
        </is>
      </c>
      <c r="B126" s="7" t="inlineStr">
        <is>
          <t>UC-26</t>
        </is>
      </c>
      <c r="C126" s="7" t="inlineStr">
        <is>
          <t>Gắn được việc vào kết quả then chốt khi giao; mã không có trong OKR của người nhận bị từ chối (400); gắn là tùy chọn, bỏ gắn được.</t>
        </is>
      </c>
      <c r="D126" s="7" t="inlineStr">
        <is>
          <t>TC-26-01, TC-26-02</t>
        </is>
      </c>
    </row>
    <row r="127">
      <c r="A127" s="7" t="inlineStr">
        <is>
          <t>AC-26.2</t>
        </is>
      </c>
      <c r="B127" s="7" t="inlineStr">
        <is>
          <t>UC-26</t>
        </is>
      </c>
      <c r="C127" s="7" t="inlineStr">
        <is>
          <t>Số liệu từng kết quả then chốt khớp với các việc được gắn; đổi hoặc gắn OKR **không** làm thay đổi điểm KPI hay xếp loại của bất kỳ hồ sơ nào.</t>
        </is>
      </c>
      <c r="D127" s="7" t="inlineStr">
        <is>
          <t>TC-26-03, TC-26-05</t>
        </is>
      </c>
    </row>
    <row r="128">
      <c r="A128" s="7" t="inlineStr">
        <is>
          <t>AC-26.3</t>
        </is>
      </c>
      <c r="B128" s="7" t="inlineStr">
        <is>
          <t>UC-26</t>
        </is>
      </c>
      <c r="C128" s="7" t="inlineStr">
        <is>
          <t>Chỉ chính cán bộ, các cấp trên trong chuỗi quản lý hoặc người có `task:read-all` xem OKR của một người; vị trí chưa có OKR hiện trạng thái rỗng, không lỗi.</t>
        </is>
      </c>
      <c r="D128" s="7" t="inlineStr">
        <is>
          <t>TC-26-04</t>
        </is>
      </c>
    </row>
    <row r="129">
      <c r="A129" s="7" t="inlineStr">
        <is>
          <t>AC-27.1</t>
        </is>
      </c>
      <c r="B129" s="7" t="inlineStr">
        <is>
          <t>UC-27</t>
        </is>
      </c>
      <c r="C129" s="7" t="inlineStr">
        <is>
          <t>Tạo được bản sao lưu đầy đủ (CSDL và tệp), mã hóa AES-256-GCM khi có khóa; bản đã mã hóa không đọc được nếu không có khóa.</t>
        </is>
      </c>
      <c r="D129" s="7" t="inlineStr">
        <is>
          <t>TC-27-01</t>
        </is>
      </c>
    </row>
    <row r="130">
      <c r="A130" s="7" t="inlineStr">
        <is>
          <t>AC-27.2</t>
        </is>
      </c>
      <c r="B130" s="7" t="inlineStr">
        <is>
          <t>UC-27</t>
        </is>
      </c>
      <c r="C130" s="7" t="inlineStr">
        <is>
          <t>`backup:verify` phục hồi thử vào CSDL tạm và xác nhận số bản ghi chính khớp bản gốc, không can thiệp CSDL đang chạy.</t>
        </is>
      </c>
      <c r="D130" s="7" t="inlineStr">
        <is>
          <t>TC-27-02</t>
        </is>
      </c>
    </row>
    <row r="131">
      <c r="A131" s="7" t="inlineStr">
        <is>
          <t>AC-27.3</t>
        </is>
      </c>
      <c r="B131" s="7" t="inlineStr">
        <is>
          <t>UC-27</t>
        </is>
      </c>
      <c r="C131" s="7" t="inlineStr">
        <is>
          <t>Sai khóa hoặc tệp bị sửa thì phục hồi báo lỗi rõ ràng, không ghi đè dữ liệu đang chạy.</t>
        </is>
      </c>
      <c r="D131" s="7" t="inlineStr">
        <is>
          <t>TC-27-03, TC-27-06</t>
        </is>
      </c>
    </row>
    <row r="132">
      <c r="A132" s="7" t="inlineStr">
        <is>
          <t>AC-27.4</t>
        </is>
      </c>
      <c r="B132" s="7" t="inlineStr">
        <is>
          <t>UC-27</t>
        </is>
      </c>
      <c r="C132" s="7" t="inlineStr">
        <is>
          <t>Chính sách giữ: 7 ngày, 4 tuần, 12 tháng; bản cũ ngoài chính sách bị dọn, bản trong chính sách còn nguyên.</t>
        </is>
      </c>
      <c r="D132" s="7" t="inlineStr">
        <is>
          <t>TC-27-04</t>
        </is>
      </c>
    </row>
    <row r="133">
      <c r="A133" s="7" t="inlineStr">
        <is>
          <t>AC-27.5</t>
        </is>
      </c>
      <c r="B133" s="7" t="inlineStr">
        <is>
          <t>UC-27</t>
        </is>
      </c>
      <c r="C133" s="7" t="inlineStr">
        <is>
          <t>Có thể đẩy bản sao lưu lên MinIO riêng và kéo về; phục hồi từ bản kéo về dùng được (diễn tập sự cố).</t>
        </is>
      </c>
      <c r="D133" s="7" t="inlineStr">
        <is>
          <t>TC-27-05</t>
        </is>
      </c>
    </row>
    <row r="134">
      <c r="A134" s="7" t="inlineStr">
        <is>
          <t>AC-28.1</t>
        </is>
      </c>
      <c r="B134" s="7" t="inlineStr">
        <is>
          <t>UC-28</t>
        </is>
      </c>
      <c r="C134" s="7" t="inlineStr">
        <is>
          <t>Cookie phiên có `httpOnly`, `SameSite=Lax`; bật `Secure` khi chạy HTTPS.</t>
        </is>
      </c>
      <c r="D134" s="7" t="inlineStr">
        <is>
          <t>TC-28-01</t>
        </is>
      </c>
    </row>
    <row r="135">
      <c r="A135" s="7" t="inlineStr">
        <is>
          <t>AC-28.2</t>
        </is>
      </c>
      <c r="B135" s="7" t="inlineStr">
        <is>
          <t>UC-28</t>
        </is>
      </c>
      <c r="C135" s="7" t="inlineStr">
        <is>
          <t>Phản hồi có các tiêu đề bảo mật (chống nhúng khung, chống đoán kiểu nội dung…); giới hạn tần suất ở đăng nhập.</t>
        </is>
      </c>
      <c r="D135" s="7" t="inlineStr">
        <is>
          <t>TC-28-02, TC-28-03</t>
        </is>
      </c>
    </row>
    <row r="136">
      <c r="A136" s="7" t="inlineStr">
        <is>
          <t>AC-28.3</t>
        </is>
      </c>
      <c r="B136" s="7" t="inlineStr">
        <is>
          <t>UC-28</t>
        </is>
      </c>
      <c r="C136" s="7" t="inlineStr">
        <is>
          <t>Mặc định từ chối: route không khai báo quyền trả 403; CORS chỉ cho phép đúng origin của frontend.</t>
        </is>
      </c>
      <c r="D136" s="7" t="inlineStr">
        <is>
          <t>TC-28-04, TC-28-05</t>
        </is>
      </c>
    </row>
    <row r="137">
      <c r="A137" s="7" t="inlineStr">
        <is>
          <t>AC-28.4</t>
        </is>
      </c>
      <c r="B137" s="7" t="inlineStr">
        <is>
          <t>UC-28</t>
        </is>
      </c>
      <c r="C137" s="7" t="inlineStr">
        <is>
          <t>Không có dữ liệu bí mật nhà nước trong hệ thống (thiết kế về không lưu bí mật nhà nước); không có tính năng AI tự quyết định điểm (thiết kế về nguyên tắc sử dụng AI).</t>
        </is>
      </c>
      <c r="D137" s="7" t="inlineStr">
        <is>
          <t>TC-28-06</t>
        </is>
      </c>
    </row>
    <row r="138">
      <c r="A138" s="7" t="inlineStr">
        <is>
          <t>AC-28.5</t>
        </is>
      </c>
      <c r="B138" s="7" t="inlineStr">
        <is>
          <t>UC-28</t>
        </is>
      </c>
      <c r="C138" s="7" t="inlineStr">
        <is>
          <t>Danh sách lớn có phân trang, không tải toàn bộ dữ liệu một lần; trang chính tải trong thời gian chấp nhận được trên mạng nội bộ với dữ liệu demo (chỉ tiêu đề xuất: dưới 3 giây, **[GĐ]** chưa có yêu cầu hiệu năng trong đề).</t>
        </is>
      </c>
      <c r="D138" s="7" t="inlineStr">
        <is>
          <t>TC-28-07</t>
        </is>
      </c>
    </row>
    <row r="139">
      <c r="A139" s="7" t="inlineStr">
        <is>
          <t>AC-28.6</t>
        </is>
      </c>
      <c r="B139" s="7" t="inlineStr">
        <is>
          <t>UC-28</t>
        </is>
      </c>
      <c r="C139" s="7" t="inlineStr">
        <is>
          <t>Giao diện dùng tiếng Việt có dấu, hiển thị đúng trên màn hình rộng 1366 điểm ảnh trở lên (đề xuất kiểm cả máy tính bảng, không bắt buộc).</t>
        </is>
      </c>
      <c r="D139" s="7" t="inlineStr">
        <is>
          <t>TC-28-08</t>
        </is>
      </c>
    </row>
    <row r="140">
      <c r="A140" s="7" t="inlineStr">
        <is>
          <t>AC-28.7</t>
        </is>
      </c>
      <c r="B140" s="7" t="inlineStr">
        <is>
          <t>UC-28</t>
        </is>
      </c>
      <c r="C140" s="7" t="inlineStr">
        <is>
          <t>Xác thực nhiều lớp TOTP theo `MFA_MODE`: `optional` (mặc định) thì ai đã đăng ký phải nhập mã; `required` thì ba vai trò quản trị và Thường vụ bắt buộc đăng ký và nhập mã (thiết kế về xác thực nhiều lớp TOTP). Quản trị hệ thống đặt lại được khi mất thiết bị; mã khôi phục dùng một lần.</t>
        </is>
      </c>
      <c r="D140" s="7" t="inlineStr">
        <is>
          <t>TC-28-09, TC-28-10, TC-28-11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9" customWidth="1" min="1" max="1"/>
    <col width="60" customWidth="1" min="2" max="2"/>
    <col width="36" customWidth="1" min="3" max="3"/>
    <col width="24" customWidth="1" min="4" max="4"/>
  </cols>
  <sheetData>
    <row r="1">
      <c r="A1" s="1" t="inlineStr">
        <is>
          <t>Mã</t>
        </is>
      </c>
      <c r="B1" s="1" t="inlineStr">
        <is>
          <t>Use case</t>
        </is>
      </c>
      <c r="C1" s="1" t="inlineStr">
        <is>
          <t>Tác nhân chính</t>
        </is>
      </c>
      <c r="D1" s="1" t="inlineStr">
        <is>
          <t>Mô-đun</t>
        </is>
      </c>
    </row>
    <row r="2">
      <c r="A2" t="inlineStr">
        <is>
          <t>UC-01</t>
        </is>
      </c>
      <c r="B2" t="inlineStr">
        <is>
          <t>Đăng nhập, đăng xuất, khóa tạm, tự đóng phiên</t>
        </is>
      </c>
      <c r="C2" t="inlineStr">
        <is>
          <t>Mọi người dùng</t>
        </is>
      </c>
      <c r="D2" t="inlineStr">
        <is>
          <t>security</t>
        </is>
      </c>
    </row>
    <row r="3">
      <c r="A3" t="inlineStr">
        <is>
          <t>UC-02</t>
        </is>
      </c>
      <c r="B3" t="inlineStr">
        <is>
          <t>Quản lý tài khoản và vai trò</t>
        </is>
      </c>
      <c r="C3" t="inlineStr">
        <is>
          <t>Quản trị hệ thống</t>
        </is>
      </c>
      <c r="D3" t="inlineStr">
        <is>
          <t>security</t>
        </is>
      </c>
    </row>
    <row r="4">
      <c r="A4" t="inlineStr">
        <is>
          <t>UC-03</t>
        </is>
      </c>
      <c r="B4" t="inlineStr">
        <is>
          <t>Quản lý đơn vị, cán bộ, vị trí, phân công</t>
        </is>
      </c>
      <c r="C4" t="inlineStr">
        <is>
          <t>Văn phòng</t>
        </is>
      </c>
      <c r="D4" t="inlineStr">
        <is>
          <t>organization</t>
        </is>
      </c>
    </row>
    <row r="5">
      <c r="A5" t="inlineStr">
        <is>
          <t>UC-04</t>
        </is>
      </c>
      <c r="B5" t="inlineStr">
        <is>
          <t>Soạn, phê duyệt danh mục sản phẩm công việc chuẩn</t>
        </is>
      </c>
      <c r="C5" t="inlineStr">
        <is>
          <t>Văn phòng, Trưởng ban</t>
        </is>
      </c>
      <c r="D5" t="inlineStr">
        <is>
          <t>catalog</t>
        </is>
      </c>
    </row>
    <row r="6">
      <c r="A6" t="inlineStr">
        <is>
          <t>UC-05</t>
        </is>
      </c>
      <c r="B6" t="inlineStr">
        <is>
          <t>Giao nhiệm vụ và việc cho cấp dưới</t>
        </is>
      </c>
      <c r="C6" t="inlineStr">
        <is>
          <t>Trưởng, Phó phòng</t>
        </is>
      </c>
      <c r="D6" t="inlineStr">
        <is>
          <t>tasking</t>
        </is>
      </c>
    </row>
    <row r="7">
      <c r="A7" t="inlineStr">
        <is>
          <t>UC-06</t>
        </is>
      </c>
      <c r="B7" t="inlineStr">
        <is>
          <t>Báo cáo, xác nhận việc; chậm, chưa đạt, miễn trừ</t>
        </is>
      </c>
      <c r="C7" t="inlineStr">
        <is>
          <t>Chuyên viên, Trưởng phòng</t>
        </is>
      </c>
      <c r="D7" t="inlineStr">
        <is>
          <t>tasking</t>
        </is>
      </c>
    </row>
    <row r="8">
      <c r="A8" t="inlineStr">
        <is>
          <t>UC-07</t>
        </is>
      </c>
      <c r="B8" t="inlineStr">
        <is>
          <t>Việc đột xuất và việc lặp định kỳ</t>
        </is>
      </c>
      <c r="C8" t="inlineStr">
        <is>
          <t>Cán bộ, cấp trên</t>
        </is>
      </c>
      <c r="D8" t="inlineStr">
        <is>
          <t>tasking</t>
        </is>
      </c>
    </row>
    <row r="9">
      <c r="A9" t="inlineStr">
        <is>
          <t>UC-08</t>
        </is>
      </c>
      <c r="B9" t="inlineStr">
        <is>
          <t>Mở kỳ đánh giá và tạo hồ sơ từ việc</t>
        </is>
      </c>
      <c r="C9" t="inlineStr">
        <is>
          <t>Văn phòng</t>
        </is>
      </c>
      <c r="D9" t="inlineStr">
        <is>
          <t>evaluation</t>
        </is>
      </c>
    </row>
    <row r="10">
      <c r="A10" t="inlineStr">
        <is>
          <t>UC-09</t>
        </is>
      </c>
      <c r="B10" t="inlineStr">
        <is>
          <t>Cán bộ tự chấm, tiêu chí chung theo mục</t>
        </is>
      </c>
      <c r="C10" t="inlineStr">
        <is>
          <t>Cán bộ</t>
        </is>
      </c>
      <c r="D10" t="inlineStr">
        <is>
          <t>evaluation</t>
        </is>
      </c>
    </row>
    <row r="11">
      <c r="A11" t="inlineStr">
        <is>
          <t>UC-10</t>
        </is>
      </c>
      <c r="B11" t="inlineStr">
        <is>
          <t>Thẩm định và tính điểm KPI</t>
        </is>
      </c>
      <c r="C11" t="inlineStr">
        <is>
          <t>Người thẩm định</t>
        </is>
      </c>
      <c r="D11" t="inlineStr">
        <is>
          <t>evaluation, scoring</t>
        </is>
      </c>
    </row>
    <row r="12">
      <c r="A12" t="inlineStr">
        <is>
          <t>UC-11</t>
        </is>
      </c>
      <c r="B12" t="inlineStr">
        <is>
          <t>Phê duyệt và xếp loại</t>
        </is>
      </c>
      <c r="C12" t="inlineStr">
        <is>
          <t>Người phê duyệt</t>
        </is>
      </c>
      <c r="D12" t="inlineStr">
        <is>
          <t>evaluation</t>
        </is>
      </c>
    </row>
    <row r="13">
      <c r="A13" t="inlineStr">
        <is>
          <t>UC-12</t>
        </is>
      </c>
      <c r="B13" t="inlineStr">
        <is>
          <t>Hủy kết quả đã phê duyệt để xếp loại lại</t>
        </is>
      </c>
      <c r="C13" t="inlineStr">
        <is>
          <t>Người phê duyệt, cấp trên</t>
        </is>
      </c>
      <c r="D13" t="inlineStr">
        <is>
          <t>evaluation</t>
        </is>
      </c>
    </row>
    <row r="14">
      <c r="A14" t="inlineStr">
        <is>
          <t>UC-13</t>
        </is>
      </c>
      <c r="B14" t="inlineStr">
        <is>
          <t>Ghi nhận kỷ luật, điều kiện "Không hoàn thành nhiệm vụ", ngoại lệ</t>
        </is>
      </c>
      <c r="C14" t="inlineStr">
        <is>
          <t>Văn phòng, người phê duyệt</t>
        </is>
      </c>
      <c r="D14" t="inlineStr">
        <is>
          <t>evaluation</t>
        </is>
      </c>
    </row>
    <row r="15">
      <c r="A15" t="inlineStr">
        <is>
          <t>UC-14</t>
        </is>
      </c>
      <c r="B15" t="inlineStr">
        <is>
          <t>Hạn mức xuất sắc (gợi ý theo điểm)</t>
        </is>
      </c>
      <c r="C15" t="inlineStr">
        <is>
          <t>Người thẩm định, phê duyệt</t>
        </is>
      </c>
      <c r="D15" t="inlineStr">
        <is>
          <t>evaluation</t>
        </is>
      </c>
    </row>
    <row r="16">
      <c r="A16" t="inlineStr">
        <is>
          <t>UC-15</t>
        </is>
      </c>
      <c r="B16" t="inlineStr">
        <is>
          <t>Điểm năm, tháng nghỉ, không xếp loại</t>
        </is>
      </c>
      <c r="C16" t="inlineStr">
        <is>
          <t>Văn phòng, người thẩm định</t>
        </is>
      </c>
      <c r="D16" t="inlineStr">
        <is>
          <t>evaluation</t>
        </is>
      </c>
    </row>
    <row r="17">
      <c r="A17" t="inlineStr">
        <is>
          <t>UC-16</t>
        </is>
      </c>
      <c r="B17" t="inlineStr">
        <is>
          <t>Đánh giá tập thể theo trục</t>
        </is>
      </c>
      <c r="C17" t="inlineStr">
        <is>
          <t>Trưởng phòng, Thường vụ</t>
        </is>
      </c>
      <c r="D17" t="inlineStr">
        <is>
          <t>evaluation</t>
        </is>
      </c>
    </row>
    <row r="18">
      <c r="A18" t="inlineStr">
        <is>
          <t>UC-17</t>
        </is>
      </c>
      <c r="B18" t="inlineStr">
        <is>
          <t>Khiếu nại, phản ánh và hạn 15/12</t>
        </is>
      </c>
      <c r="C18" t="inlineStr">
        <is>
          <t>Văn phòng, người công nhận</t>
        </is>
      </c>
      <c r="D18" t="inlineStr">
        <is>
          <t>evaluation</t>
        </is>
      </c>
    </row>
    <row r="19">
      <c r="A19" t="inlineStr">
        <is>
          <t>UC-18</t>
        </is>
      </c>
      <c r="B19" t="inlineStr">
        <is>
          <t>Giải thích điểm và mô phỏng "nếu…"</t>
        </is>
      </c>
      <c r="C19" t="inlineStr">
        <is>
          <t>Cán bộ, người thẩm định</t>
        </is>
      </c>
      <c r="D19" t="inlineStr">
        <is>
          <t>evaluation</t>
        </is>
      </c>
    </row>
    <row r="20">
      <c r="A20" t="inlineStr">
        <is>
          <t>UC-19</t>
        </is>
      </c>
      <c r="B20" t="inlineStr">
        <is>
          <t>Tổng quan (dashboard) và cảnh báo sớm</t>
        </is>
      </c>
      <c r="C20" t="inlineStr">
        <is>
          <t>Mọi người dùng</t>
        </is>
      </c>
      <c r="D20" t="inlineStr">
        <is>
          <t>reporting</t>
        </is>
      </c>
    </row>
    <row r="21">
      <c r="A21" t="inlineStr">
        <is>
          <t>UC-20</t>
        </is>
      </c>
      <c r="B21" t="inlineStr">
        <is>
          <t>Tra cứu, thống kê, báo cáo, xuất Excel/PDF</t>
        </is>
      </c>
      <c r="C21" t="inlineStr">
        <is>
          <t>Văn phòng, lãnh đạo</t>
        </is>
      </c>
      <c r="D21" t="inlineStr">
        <is>
          <t>reporting</t>
        </is>
      </c>
    </row>
    <row r="22">
      <c r="A22" t="inlineStr">
        <is>
          <t>UC-21</t>
        </is>
      </c>
      <c r="B22" t="inlineStr">
        <is>
          <t>Dự thảo báo cáo, quyết định theo mẫu</t>
        </is>
      </c>
      <c r="C22" t="inlineStr">
        <is>
          <t>Văn phòng, Trưởng ban</t>
        </is>
      </c>
      <c r="D22" t="inlineStr">
        <is>
          <t>reporting</t>
        </is>
      </c>
    </row>
    <row r="23">
      <c r="A23" t="inlineStr">
        <is>
          <t>UC-22</t>
        </is>
      </c>
      <c r="B23" t="inlineStr">
        <is>
          <t>Nhật ký bất biến và lịch sử thay đổi</t>
        </is>
      </c>
      <c r="C23" t="inlineStr">
        <is>
          <t>Quản trị dữ liệu</t>
        </is>
      </c>
      <c r="D23" t="inlineStr">
        <is>
          <t>security</t>
        </is>
      </c>
    </row>
    <row r="24">
      <c r="A24" t="inlineStr">
        <is>
          <t>UC-23</t>
        </is>
      </c>
      <c r="B24" t="inlineStr">
        <is>
          <t>Rà soát quyền định kỳ</t>
        </is>
      </c>
      <c r="C24" t="inlineStr">
        <is>
          <t>Quản trị, lãnh đạo phòng</t>
        </is>
      </c>
      <c r="D24" t="inlineStr">
        <is>
          <t>access-review</t>
        </is>
      </c>
    </row>
    <row r="25">
      <c r="A25" t="inlineStr">
        <is>
          <t>UC-24</t>
        </is>
      </c>
      <c r="B25" t="inlineStr">
        <is>
          <t>Quản lý tài liệu và thông báo</t>
        </is>
      </c>
      <c r="C25" t="inlineStr">
        <is>
          <t>Mọi người dùng</t>
        </is>
      </c>
      <c r="D25" t="inlineStr">
        <is>
          <t>documents, notifications</t>
        </is>
      </c>
    </row>
    <row r="26">
      <c r="A26" t="inlineStr">
        <is>
          <t>UC-25</t>
        </is>
      </c>
      <c r="B26" t="inlineStr">
        <is>
          <t>Đề án, dự án và lịch họp</t>
        </is>
      </c>
      <c r="C26" t="inlineStr">
        <is>
          <t>Cán bộ</t>
        </is>
      </c>
      <c r="D26" t="inlineStr">
        <is>
          <t>project, meeting</t>
        </is>
      </c>
    </row>
    <row r="27">
      <c r="A27" t="inlineStr">
        <is>
          <t>UC-26</t>
        </is>
      </c>
      <c r="B27" t="inlineStr">
        <is>
          <t>Theo dõi OKR</t>
        </is>
      </c>
      <c r="C27" t="inlineStr">
        <is>
          <t>Cán bộ, lãnh đạo</t>
        </is>
      </c>
      <c r="D27" t="inlineStr">
        <is>
          <t>okr</t>
        </is>
      </c>
    </row>
    <row r="28">
      <c r="A28" t="inlineStr">
        <is>
          <t>UC-27</t>
        </is>
      </c>
      <c r="B28" t="inlineStr">
        <is>
          <t>Sao lưu và phục hồi</t>
        </is>
      </c>
      <c r="C28" t="inlineStr">
        <is>
          <t>Quản trị</t>
        </is>
      </c>
      <c r="D28" t="inlineStr">
        <is>
          <t>backup</t>
        </is>
      </c>
    </row>
    <row r="29">
      <c r="A29" t="inlineStr">
        <is>
          <t>UC-28</t>
        </is>
      </c>
      <c r="B29" t="inlineStr">
        <is>
          <t>Yêu cầu phi chức năng và bảo mật ứng dụng</t>
        </is>
      </c>
      <c r="C29" t="inlineStr">
        <is>
          <t>Quản trị</t>
        </is>
      </c>
      <c r="D29" t="inlineStr">
        <is>
          <t>toàn hệ thống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9" customWidth="1" min="1" max="1"/>
    <col width="8" customWidth="1" min="2" max="2"/>
    <col width="18" customWidth="1" min="3" max="3"/>
    <col width="60" customWidth="1" min="4" max="4"/>
    <col width="60" customWidth="1" min="5" max="5"/>
    <col width="45" customWidth="1" min="6" max="6"/>
    <col width="40" customWidth="1" min="7" max="7"/>
    <col width="30" customWidth="1" min="8" max="8"/>
  </cols>
  <sheetData>
    <row r="1">
      <c r="A1" s="4" t="inlineStr">
        <is>
          <t>Mã lỗi</t>
        </is>
      </c>
      <c r="B1" s="4" t="inlineStr">
        <is>
          <t>Mức</t>
        </is>
      </c>
      <c r="C1" s="4" t="inlineStr">
        <is>
          <t>TC phát hiện</t>
        </is>
      </c>
      <c r="D1" s="4" t="inlineStr">
        <is>
          <t>Mô tả</t>
        </is>
      </c>
      <c r="E1" s="4" t="inlineStr">
        <is>
          <t>Tái hiện</t>
        </is>
      </c>
      <c r="F1" s="4" t="inlineStr">
        <is>
          <t>Kỳ vọng</t>
        </is>
      </c>
      <c r="G1" s="4" t="inlineStr">
        <is>
          <t>Thực tế</t>
        </is>
      </c>
      <c r="H1" s="4" t="inlineStr">
        <is>
          <t>Evidence</t>
        </is>
      </c>
    </row>
    <row r="2">
      <c r="A2" s="7" t="inlineStr">
        <is>
          <t>LOI-01</t>
        </is>
      </c>
      <c r="B2" s="7" t="inlineStr">
        <is>
          <t>Cao (đã sửa)</t>
        </is>
      </c>
      <c r="C2" s="7" t="inlineStr">
        <is>
          <t>TC-14-07 (AC-14.6)</t>
        </is>
      </c>
      <c r="D2" s="7" t="inlineStr">
        <is>
          <t>Khối "hạn mức xuất sắc" trong hồ sơ cá nhân trả về điểm, hạng và mã cán bộ của đồng nghiệp cùng nhóm cho chính người được đánh giá</t>
        </is>
      </c>
      <c r="E2" s="7" t="inlineStr">
        <is>
          <t>Hai chuyên viên cùng phòng đều được thẩm định mức Xuất sắc (100 và 95 điểm), chưa phê duyệt. chuyenvien2 mở hồ sơ của mình, xem phản hồi GET /api/evaluation/evaluations/:id, trường excellentQuota.ranking</t>
        </is>
      </c>
      <c r="F2" s="7" t="inlineStr">
        <is>
          <t>Chỉ người phê duyệt và Văn phòng thấy khối hạn mức của nhóm; người được đánh giá không thấy thông tin đồng nghiệp</t>
        </is>
      </c>
      <c r="G2" s="7" t="inlineStr">
        <is>
          <t>ranking gồm cả đồng nghiệp: điểm 95, hạng 2, personId</t>
        </is>
      </c>
      <c r="H2" s="7" t="inlineStr">
        <is>
          <t>evidence/UC-14/TC-14-07.json</t>
        </is>
      </c>
    </row>
    <row r="3">
      <c r="D3" t="inlineStr">
        <is>
          <t>Đã sửa: evaluation.service.ts chỉ trả khối hạn mức cho người thẩm định, người phê duyệt, người xem toàn bộ; thêm test quota-visibility.spec.ts; chạy lại TC-14-07 đạt; 898 test đơn vị và 172 test đầu cuối đạt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Trịnh Hữu Tuấn</dc:creator>
  <dcterms:created xmlns:dcterms="http://purl.org/dc/terms/" xmlns:xsi="http://www.w3.org/2001/XMLSchema-instance" xsi:type="dcterms:W3CDTF">2026-10-18T17:39:33Z</dcterms:created>
  <dcterms:modified xmlns:dcterms="http://purl.org/dc/terms/" xmlns:xsi="http://www.w3.org/2001/XMLSchema-instance" xsi:type="dcterms:W3CDTF">2026-10-22T03:44:18Z</dcterms:modified>
  <cp:lastModifiedBy>TRỊNH HỮU TUẤN</cp:lastModifiedBy>
</cp:coreProperties>
</file>